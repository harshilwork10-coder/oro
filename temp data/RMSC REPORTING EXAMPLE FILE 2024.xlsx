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https://batusa-my.sharepoint.com/personal/85050898_bat_com/Documents/My Documents/Scan Data/eVIP files/"/>
    </mc:Choice>
  </mc:AlternateContent>
  <xr:revisionPtr revIDLastSave="22" documentId="8_{0161D0FC-7FE7-4EEF-B2CF-6A0E80FC7344}" xr6:coauthVersionLast="47" xr6:coauthVersionMax="47" xr10:uidLastSave="{3B70B86A-FF47-4BA9-BFFF-03513B807720}"/>
  <bookViews>
    <workbookView xWindow="-120" yWindow="-120" windowWidth="38640" windowHeight="21120" xr2:uid="{00000000-000D-0000-FFFF-FFFF00000000}"/>
  </bookViews>
  <sheets>
    <sheet name="ReturnPrePrice&amp;Single_Pk_promos" sheetId="7" r:id="rId1"/>
    <sheet name="MultiPack" sheetId="9" r:id="rId2"/>
    <sheet name="Loyalty FMC " sheetId="16" r:id="rId3"/>
    <sheet name="Loyalty Trad Oral" sheetId="17" r:id="rId4"/>
    <sheet name="Loyalty NMO" sheetId="18" r:id="rId5"/>
    <sheet name="Loyalty Vapor" sheetId="19" r:id="rId6"/>
    <sheet name="CSF- Incremental Offers" sheetId="14" r:id="rId7"/>
    <sheet name="ESRI_MAPINFO_SHEET" sheetId="11" state="veryHidden" r:id="rId8"/>
  </sheets>
  <definedNames>
    <definedName name="_xlnm._FilterDatabase" localSheetId="1" hidden="1">MultiPack!$A$4:$AM$10</definedName>
    <definedName name="_xlnm.Print_Area" localSheetId="6">'CSF- Incremental Offers'!$A$1:$AH$9</definedName>
    <definedName name="_xlnm.Print_Area" localSheetId="2">'Loyalty FMC '!$B$2:$AK$35</definedName>
    <definedName name="_xlnm.Print_Area" localSheetId="4">'Loyalty NMO'!$B$2:$AK$26</definedName>
    <definedName name="_xlnm.Print_Area" localSheetId="3">'Loyalty Trad Oral'!$B$2:$AK$38</definedName>
    <definedName name="_xlnm.Print_Area" localSheetId="1">MultiPack!$A$1:$AJ$131</definedName>
    <definedName name="_xlnm.Print_Area" localSheetId="0">'ReturnPrePrice&amp;Single_Pk_promos'!$A$1:$AJ$37</definedName>
    <definedName name="_xlnm.Print_Titles" localSheetId="1">MultiPack!$1:$4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P46" i="19" l="1"/>
  <c r="Z38" i="19"/>
  <c r="AB58" i="18" l="1"/>
  <c r="O129" i="9" l="1"/>
  <c r="O108" i="9" l="1"/>
  <c r="O107" i="9"/>
  <c r="O106" i="9"/>
  <c r="O104" i="9"/>
  <c r="O103" i="9"/>
  <c r="O102" i="9"/>
  <c r="O101" i="9"/>
  <c r="O47" i="9"/>
  <c r="O17" i="9"/>
  <c r="O15" i="9"/>
  <c r="O14" i="9"/>
</calcChain>
</file>

<file path=xl/sharedStrings.xml><?xml version="1.0" encoding="utf-8"?>
<sst xmlns="http://schemas.openxmlformats.org/spreadsheetml/2006/main" count="3608" uniqueCount="337">
  <si>
    <t>Quantity</t>
  </si>
  <si>
    <t>Price</t>
  </si>
  <si>
    <t>UPC Description</t>
  </si>
  <si>
    <t>Scenario</t>
  </si>
  <si>
    <t>Store 1</t>
  </si>
  <si>
    <t>1234 Main St</t>
  </si>
  <si>
    <t>Anytown</t>
  </si>
  <si>
    <t>Pack</t>
  </si>
  <si>
    <t>N</t>
  </si>
  <si>
    <t>Carton</t>
  </si>
  <si>
    <t>OH</t>
  </si>
  <si>
    <t>Camel Bl 99 Bx</t>
  </si>
  <si>
    <t>Camel Crush Slvr 85 Bx Men $0.75 Off</t>
  </si>
  <si>
    <t>Y</t>
  </si>
  <si>
    <t>RJR VAP $0.75</t>
  </si>
  <si>
    <t>Newport 100 Bx Men</t>
  </si>
  <si>
    <t>Carton Discount $2.00</t>
  </si>
  <si>
    <t>Camel Crush Slvr 85 Bx Men</t>
  </si>
  <si>
    <t>Grizzly Prm Dk Wntrgrn Pch</t>
  </si>
  <si>
    <t>City</t>
  </si>
  <si>
    <t>State</t>
  </si>
  <si>
    <t>Zip</t>
  </si>
  <si>
    <t>Outlet Name</t>
  </si>
  <si>
    <t>Outlet Number</t>
  </si>
  <si>
    <t>Address 1</t>
  </si>
  <si>
    <t>Address 2</t>
  </si>
  <si>
    <t>Transaction Date</t>
  </si>
  <si>
    <t>Market Basket ID</t>
  </si>
  <si>
    <t>Scan ID</t>
  </si>
  <si>
    <t>Register ID</t>
  </si>
  <si>
    <t>UPC Code</t>
  </si>
  <si>
    <t>Unit Of Measure</t>
  </si>
  <si>
    <t>Promo Flag</t>
  </si>
  <si>
    <t>Acct Promo Name</t>
  </si>
  <si>
    <t>Acct Disc Amt</t>
  </si>
  <si>
    <t>Mfg Disc Amt</t>
  </si>
  <si>
    <t>PID Coupon</t>
  </si>
  <si>
    <t>PID Coupon Disc</t>
  </si>
  <si>
    <t>Mfg MultiPack Flag</t>
  </si>
  <si>
    <t>Mfg MultiPack Quantity</t>
  </si>
  <si>
    <t>Mfg MultiPack Disc Amt</t>
  </si>
  <si>
    <t>Mfg Promo Desc</t>
  </si>
  <si>
    <t>Mfg BuyDown Desc</t>
  </si>
  <si>
    <t>Mfg BuyDown Amt</t>
  </si>
  <si>
    <t>Mfg MultiPack Desc</t>
  </si>
  <si>
    <t xml:space="preserve">Acct Loyalty ID </t>
  </si>
  <si>
    <t>Coupon Desc</t>
  </si>
  <si>
    <t>Outlet MultiPack Flag</t>
  </si>
  <si>
    <t>Outlet MultiPack Quantity</t>
  </si>
  <si>
    <t>Outlet MultiPack Disc Amt</t>
  </si>
  <si>
    <t>Grizzly Prm Dk Mnt LC B1G1</t>
  </si>
  <si>
    <t>RJR VAP B1G1</t>
  </si>
  <si>
    <t>Grizzly Prm Dk Mnt LC</t>
  </si>
  <si>
    <t>Grizzly Prm Dk Mnt LC PP $2.75</t>
  </si>
  <si>
    <t>RJR VAP $7.50</t>
  </si>
  <si>
    <t>Grizzly Wntrgrn LC $1.00 Off 2 Cans</t>
  </si>
  <si>
    <t>RJR VAP B2G$1.00</t>
  </si>
  <si>
    <t>Grizzly Wntrgrn LC</t>
  </si>
  <si>
    <t>Grey highlighted lines represent example base/non-promoted transactions</t>
  </si>
  <si>
    <t>2017-11-01-19:41:00</t>
  </si>
  <si>
    <t>2017-11-01-19:41:02</t>
  </si>
  <si>
    <t>2017-11-01-19:41:04</t>
  </si>
  <si>
    <t>2017-11-01-19:41:06</t>
  </si>
  <si>
    <t>2018-01-05-19:41:00</t>
  </si>
  <si>
    <t>2018-01-05-19:41:02</t>
  </si>
  <si>
    <t>Pall Mall Classic Menthol 100 Box</t>
  </si>
  <si>
    <t>Pall Mall 100 BX Men</t>
  </si>
  <si>
    <t>RJR MP</t>
  </si>
  <si>
    <t>Stacked Program Examples</t>
  </si>
  <si>
    <t>FIELD #</t>
  </si>
  <si>
    <t>512300211760</t>
  </si>
  <si>
    <t>Natural American Spirit Org Gold</t>
  </si>
  <si>
    <t>Roll</t>
  </si>
  <si>
    <t>Can</t>
  </si>
  <si>
    <t>Marlboro Red</t>
  </si>
  <si>
    <t>Marlboro MP BEF</t>
  </si>
  <si>
    <t>Copenhagen WG Pouch</t>
  </si>
  <si>
    <t>USST MC BEF</t>
  </si>
  <si>
    <t>VELO CITRUS 2 MG</t>
  </si>
  <si>
    <t>Tin</t>
  </si>
  <si>
    <t>Marlboro Loyalty</t>
  </si>
  <si>
    <t>USST Loyalty</t>
  </si>
  <si>
    <t>2018-01-05-19:41:03</t>
  </si>
  <si>
    <t>CARTON/ROLL UPCs should reflect CARTON/ROLL discount rates</t>
  </si>
  <si>
    <t>Sleeve</t>
  </si>
  <si>
    <t>849205017709</t>
  </si>
  <si>
    <t>849205017693</t>
  </si>
  <si>
    <r>
      <rPr>
        <b/>
        <u/>
        <sz val="10"/>
        <color theme="1"/>
        <rFont val="Calibri"/>
        <family val="2"/>
        <scheme val="minor"/>
      </rPr>
      <t>Pre-Priced</t>
    </r>
    <r>
      <rPr>
        <u/>
        <sz val="10"/>
        <color theme="1"/>
        <rFont val="Calibri"/>
        <family val="2"/>
        <scheme val="minor"/>
      </rPr>
      <t xml:space="preserve"> </t>
    </r>
    <r>
      <rPr>
        <sz val="10"/>
        <color theme="1"/>
        <rFont val="Calibri"/>
        <family val="2"/>
        <scheme val="minor"/>
      </rPr>
      <t>- Grizzly PP $2.75</t>
    </r>
  </si>
  <si>
    <r>
      <rPr>
        <b/>
        <u/>
        <sz val="10"/>
        <color theme="1"/>
        <rFont val="Calibri"/>
        <family val="2"/>
        <scheme val="minor"/>
      </rPr>
      <t>Account Promotion</t>
    </r>
    <r>
      <rPr>
        <sz val="10"/>
        <color theme="1"/>
        <rFont val="Calibri"/>
        <family val="2"/>
        <scheme val="minor"/>
      </rPr>
      <t xml:space="preserve"> - $2 off all carton purchases</t>
    </r>
  </si>
  <si>
    <r>
      <rPr>
        <b/>
        <u/>
        <sz val="10"/>
        <color theme="1"/>
        <rFont val="Calibri"/>
        <family val="2"/>
        <scheme val="minor"/>
      </rPr>
      <t>MFG VAP Discount</t>
    </r>
    <r>
      <rPr>
        <sz val="10"/>
        <color theme="1"/>
        <rFont val="Calibri"/>
        <family val="2"/>
        <scheme val="minor"/>
      </rPr>
      <t xml:space="preserve"> - Camel $0.75 Off</t>
    </r>
  </si>
  <si>
    <r>
      <rPr>
        <b/>
        <u/>
        <sz val="10"/>
        <color theme="1"/>
        <rFont val="Calibri"/>
        <family val="2"/>
        <scheme val="minor"/>
      </rPr>
      <t>MFG VAP Discount</t>
    </r>
    <r>
      <rPr>
        <sz val="10"/>
        <color theme="1"/>
        <rFont val="Calibri"/>
        <family val="2"/>
        <scheme val="minor"/>
      </rPr>
      <t xml:space="preserve"> - Grizzly B1G1</t>
    </r>
  </si>
  <si>
    <r>
      <rPr>
        <b/>
        <u/>
        <sz val="10"/>
        <color theme="1"/>
        <rFont val="Calibri"/>
        <family val="2"/>
        <scheme val="minor"/>
      </rPr>
      <t>MFG Buydown</t>
    </r>
    <r>
      <rPr>
        <sz val="10"/>
        <color theme="1"/>
        <rFont val="Calibri"/>
        <family val="2"/>
        <scheme val="minor"/>
      </rPr>
      <t xml:space="preserve"> - $7.00 per carton (pack: $0.70)</t>
    </r>
  </si>
  <si>
    <r>
      <rPr>
        <b/>
        <u/>
        <sz val="10"/>
        <color theme="1"/>
        <rFont val="Calibri"/>
        <family val="2"/>
        <scheme val="minor"/>
      </rPr>
      <t>Marlboro Loyalty 2pk</t>
    </r>
    <r>
      <rPr>
        <b/>
        <sz val="10"/>
        <color theme="1"/>
        <rFont val="Calibri"/>
        <family val="2"/>
        <scheme val="minor"/>
      </rPr>
      <t xml:space="preserve">
</t>
    </r>
    <r>
      <rPr>
        <sz val="10"/>
        <color theme="1"/>
        <rFont val="Calibri"/>
        <family val="2"/>
        <scheme val="minor"/>
      </rPr>
      <t xml:space="preserve">Save $1.00 with the minimum purchase of 2 Marlboro packs
</t>
    </r>
    <r>
      <rPr>
        <b/>
        <sz val="10"/>
        <color theme="1"/>
        <rFont val="Calibri"/>
        <family val="2"/>
        <scheme val="minor"/>
      </rPr>
      <t xml:space="preserve">
</t>
    </r>
  </si>
  <si>
    <t>UPDATED 9.28.2020</t>
  </si>
  <si>
    <t xml:space="preserve">Pack </t>
  </si>
  <si>
    <t>CSF - INCREMENTAL OFFERS</t>
  </si>
  <si>
    <t>PID Coupon Discount</t>
  </si>
  <si>
    <t>LUCKY STRIKE RED 100 BOX</t>
  </si>
  <si>
    <t>LUCKY STRIKE GOLD 100 BOX</t>
  </si>
  <si>
    <r>
      <rPr>
        <b/>
        <u/>
        <sz val="10"/>
        <color theme="1"/>
        <rFont val="Calibri"/>
        <family val="2"/>
        <scheme val="minor"/>
      </rPr>
      <t xml:space="preserve">
Marlboro Multi-Pack 
</t>
    </r>
    <r>
      <rPr>
        <sz val="10"/>
        <color theme="1"/>
        <rFont val="Calibri"/>
        <family val="2"/>
        <scheme val="minor"/>
      </rPr>
      <t>$2.50 per carton (pack: $0.25)
Buy 2, Save $0.50</t>
    </r>
    <r>
      <rPr>
        <b/>
        <sz val="10"/>
        <color theme="1"/>
        <rFont val="Calibri"/>
        <family val="2"/>
        <scheme val="minor"/>
      </rPr>
      <t xml:space="preserve">
</t>
    </r>
    <r>
      <rPr>
        <sz val="10"/>
        <color theme="1"/>
        <rFont val="Calibri"/>
        <family val="2"/>
        <scheme val="minor"/>
      </rPr>
      <t xml:space="preserve">
</t>
    </r>
  </si>
  <si>
    <r>
      <rPr>
        <b/>
        <u/>
        <sz val="10"/>
        <color theme="1"/>
        <rFont val="Calibri"/>
        <family val="2"/>
        <scheme val="minor"/>
      </rPr>
      <t>Outlet Funded Multi-Pack</t>
    </r>
    <r>
      <rPr>
        <sz val="10"/>
        <color theme="1"/>
        <rFont val="Calibri"/>
        <family val="2"/>
        <scheme val="minor"/>
      </rPr>
      <t xml:space="preserve"> 
Buy 2, Save $0.50</t>
    </r>
  </si>
  <si>
    <r>
      <rPr>
        <b/>
        <u/>
        <sz val="10"/>
        <color theme="1"/>
        <rFont val="Calibri"/>
        <family val="2"/>
        <scheme val="minor"/>
      </rPr>
      <t>Co-funded Multi-Pack</t>
    </r>
    <r>
      <rPr>
        <sz val="10"/>
        <color theme="1"/>
        <rFont val="Calibri"/>
        <family val="2"/>
        <scheme val="minor"/>
      </rPr>
      <t xml:space="preserve">
•</t>
    </r>
    <r>
      <rPr>
        <b/>
        <sz val="10"/>
        <color theme="1"/>
        <rFont val="Calibri"/>
        <family val="2"/>
        <scheme val="minor"/>
      </rPr>
      <t xml:space="preserve"> Newport Multipack 
</t>
    </r>
    <r>
      <rPr>
        <sz val="10"/>
        <color theme="1"/>
        <rFont val="Calibri"/>
        <family val="2"/>
        <scheme val="minor"/>
      </rPr>
      <t xml:space="preserve">    - $2.00 per carton (pack: $0.20)  
       Buy 2 Save $0.40
• Outlet funded ($0.10 per pack)</t>
    </r>
  </si>
  <si>
    <r>
      <t xml:space="preserve">Lucky Strike Multi-Pack
</t>
    </r>
    <r>
      <rPr>
        <sz val="10"/>
        <color theme="1"/>
        <rFont val="Calibri"/>
        <family val="2"/>
        <scheme val="minor"/>
      </rPr>
      <t>$2.50 per carton (pack: $0.25)
Buy 2, save $0.50</t>
    </r>
  </si>
  <si>
    <r>
      <rPr>
        <b/>
        <sz val="10"/>
        <color theme="1"/>
        <rFont val="Calibri"/>
        <family val="2"/>
        <scheme val="minor"/>
      </rPr>
      <t xml:space="preserve">
</t>
    </r>
    <r>
      <rPr>
        <b/>
        <u/>
        <sz val="10"/>
        <color theme="1"/>
        <rFont val="Calibri"/>
        <family val="2"/>
        <scheme val="minor"/>
      </rPr>
      <t>Pall Mall Multi-Pack</t>
    </r>
    <r>
      <rPr>
        <b/>
        <sz val="10"/>
        <color theme="1"/>
        <rFont val="Calibri"/>
        <family val="2"/>
        <scheme val="minor"/>
      </rPr>
      <t xml:space="preserve">
</t>
    </r>
    <r>
      <rPr>
        <sz val="10"/>
        <color theme="1"/>
        <rFont val="Calibri"/>
        <family val="2"/>
        <scheme val="minor"/>
      </rPr>
      <t>$2.50 per carton (pack: $0.25)
Buy 2, Save $0.50</t>
    </r>
    <r>
      <rPr>
        <b/>
        <sz val="10"/>
        <color theme="1"/>
        <rFont val="Calibri"/>
        <family val="2"/>
        <scheme val="minor"/>
      </rPr>
      <t xml:space="preserve">
</t>
    </r>
    <r>
      <rPr>
        <sz val="10"/>
        <color theme="1"/>
        <rFont val="Calibri"/>
        <family val="2"/>
        <scheme val="minor"/>
      </rPr>
      <t xml:space="preserve">
</t>
    </r>
  </si>
  <si>
    <r>
      <rPr>
        <b/>
        <sz val="10"/>
        <color theme="1"/>
        <rFont val="Calibri"/>
        <family val="2"/>
        <scheme val="minor"/>
      </rPr>
      <t xml:space="preserve">
</t>
    </r>
    <r>
      <rPr>
        <b/>
        <u/>
        <sz val="10"/>
        <color theme="1"/>
        <rFont val="Calibri"/>
        <family val="2"/>
        <scheme val="minor"/>
      </rPr>
      <t>NAS Multi-Pack</t>
    </r>
    <r>
      <rPr>
        <b/>
        <sz val="10"/>
        <color theme="1"/>
        <rFont val="Calibri"/>
        <family val="2"/>
        <scheme val="minor"/>
      </rPr>
      <t xml:space="preserve">
</t>
    </r>
    <r>
      <rPr>
        <sz val="10"/>
        <color theme="1"/>
        <rFont val="Calibri"/>
        <family val="2"/>
        <scheme val="minor"/>
      </rPr>
      <t>$5.00 per carton (pack: $0.50)
Buy 2, Save $1.00</t>
    </r>
    <r>
      <rPr>
        <b/>
        <sz val="10"/>
        <color theme="1"/>
        <rFont val="Calibri"/>
        <family val="2"/>
        <scheme val="minor"/>
      </rPr>
      <t xml:space="preserve">
</t>
    </r>
    <r>
      <rPr>
        <sz val="10"/>
        <color theme="1"/>
        <rFont val="Calibri"/>
        <family val="2"/>
        <scheme val="minor"/>
      </rPr>
      <t xml:space="preserve">
</t>
    </r>
  </si>
  <si>
    <r>
      <rPr>
        <b/>
        <sz val="10"/>
        <color theme="1"/>
        <rFont val="Calibri"/>
        <family val="2"/>
        <scheme val="minor"/>
      </rPr>
      <t xml:space="preserve">
</t>
    </r>
    <r>
      <rPr>
        <b/>
        <u/>
        <sz val="10"/>
        <color theme="1"/>
        <rFont val="Calibri"/>
        <family val="2"/>
        <scheme val="minor"/>
      </rPr>
      <t>Grizzly Multi-Can</t>
    </r>
    <r>
      <rPr>
        <b/>
        <sz val="10"/>
        <color theme="1"/>
        <rFont val="Calibri"/>
        <family val="2"/>
        <scheme val="minor"/>
      </rPr>
      <t xml:space="preserve">
</t>
    </r>
    <r>
      <rPr>
        <sz val="10"/>
        <color theme="1"/>
        <rFont val="Calibri"/>
        <family val="2"/>
        <scheme val="minor"/>
      </rPr>
      <t>$1.25 per roll (can: $0.25)
Buy 2, Save $0.50</t>
    </r>
    <r>
      <rPr>
        <b/>
        <sz val="10"/>
        <color theme="1"/>
        <rFont val="Calibri"/>
        <family val="2"/>
        <scheme val="minor"/>
      </rPr>
      <t xml:space="preserve">
</t>
    </r>
    <r>
      <rPr>
        <sz val="10"/>
        <color theme="1"/>
        <rFont val="Calibri"/>
        <family val="2"/>
        <scheme val="minor"/>
      </rPr>
      <t xml:space="preserve">
</t>
    </r>
  </si>
  <si>
    <r>
      <rPr>
        <b/>
        <sz val="10"/>
        <color theme="1"/>
        <rFont val="Calibri"/>
        <family val="2"/>
        <scheme val="minor"/>
      </rPr>
      <t xml:space="preserve">
ALTO Multi-Pack
</t>
    </r>
    <r>
      <rPr>
        <sz val="10"/>
        <color theme="1"/>
        <rFont val="Calibri"/>
        <family val="2"/>
        <scheme val="minor"/>
      </rPr>
      <t>$20.00 per carton (Pack of pods: $4.00)
Buy 2, Save $8.00</t>
    </r>
    <r>
      <rPr>
        <b/>
        <sz val="10"/>
        <color theme="1"/>
        <rFont val="Calibri"/>
        <family val="2"/>
        <scheme val="minor"/>
      </rPr>
      <t xml:space="preserve">
</t>
    </r>
    <r>
      <rPr>
        <sz val="10"/>
        <color theme="1"/>
        <rFont val="Calibri"/>
        <family val="2"/>
        <scheme val="minor"/>
      </rPr>
      <t xml:space="preserve">
</t>
    </r>
  </si>
  <si>
    <r>
      <rPr>
        <b/>
        <sz val="10"/>
        <color theme="1"/>
        <rFont val="Calibri"/>
        <family val="2"/>
        <scheme val="minor"/>
      </rPr>
      <t xml:space="preserve">
</t>
    </r>
    <r>
      <rPr>
        <b/>
        <u/>
        <sz val="10"/>
        <color theme="1"/>
        <rFont val="Calibri"/>
        <family val="2"/>
        <scheme val="minor"/>
      </rPr>
      <t>Velo Multi-Tin</t>
    </r>
    <r>
      <rPr>
        <b/>
        <sz val="10"/>
        <color theme="1"/>
        <rFont val="Calibri"/>
        <family val="2"/>
        <scheme val="minor"/>
      </rPr>
      <t xml:space="preserve">
</t>
    </r>
    <r>
      <rPr>
        <sz val="10"/>
        <color theme="1"/>
        <rFont val="Calibri"/>
        <family val="2"/>
        <scheme val="minor"/>
      </rPr>
      <t>$2.50 per sleeve (tin: $0.50)
Buy 2, Save $1.00</t>
    </r>
    <r>
      <rPr>
        <b/>
        <sz val="10"/>
        <color theme="1"/>
        <rFont val="Calibri"/>
        <family val="2"/>
        <scheme val="minor"/>
      </rPr>
      <t xml:space="preserve">
</t>
    </r>
    <r>
      <rPr>
        <sz val="10"/>
        <color theme="1"/>
        <rFont val="Calibri"/>
        <family val="2"/>
        <scheme val="minor"/>
      </rPr>
      <t xml:space="preserve">
</t>
    </r>
  </si>
  <si>
    <r>
      <rPr>
        <b/>
        <sz val="10"/>
        <color theme="1"/>
        <rFont val="Calibri"/>
        <family val="2"/>
        <scheme val="minor"/>
      </rPr>
      <t xml:space="preserve">
</t>
    </r>
    <r>
      <rPr>
        <b/>
        <u/>
        <sz val="10"/>
        <color theme="1"/>
        <rFont val="Calibri"/>
        <family val="2"/>
        <scheme val="minor"/>
      </rPr>
      <t xml:space="preserve">USST Multi-Can </t>
    </r>
    <r>
      <rPr>
        <b/>
        <sz val="10"/>
        <color theme="1"/>
        <rFont val="Calibri"/>
        <family val="2"/>
        <scheme val="minor"/>
      </rPr>
      <t xml:space="preserve">
</t>
    </r>
    <r>
      <rPr>
        <sz val="10"/>
        <color theme="1"/>
        <rFont val="Calibri"/>
        <family val="2"/>
        <scheme val="minor"/>
      </rPr>
      <t>$1.25 per roll (can: $0.25)
Buy 2, Save $0.50</t>
    </r>
    <r>
      <rPr>
        <b/>
        <sz val="10"/>
        <color theme="1"/>
        <rFont val="Calibri"/>
        <family val="2"/>
        <scheme val="minor"/>
      </rPr>
      <t xml:space="preserve">
</t>
    </r>
    <r>
      <rPr>
        <sz val="10"/>
        <color theme="1"/>
        <rFont val="Calibri"/>
        <family val="2"/>
        <scheme val="minor"/>
      </rPr>
      <t xml:space="preserve">
</t>
    </r>
  </si>
  <si>
    <t>GRIZZLY WINTERGREEN LONG CUT</t>
  </si>
  <si>
    <t>GRIZZLY WINTERGREEN LONG CUT $1.00 OFF 2/CAN</t>
  </si>
  <si>
    <r>
      <rPr>
        <b/>
        <u/>
        <sz val="10"/>
        <color theme="1"/>
        <rFont val="Calibri"/>
        <family val="2"/>
        <scheme val="minor"/>
      </rPr>
      <t>Camel/Newport Multi-Pack</t>
    </r>
    <r>
      <rPr>
        <b/>
        <sz val="10"/>
        <color theme="1"/>
        <rFont val="Calibri"/>
        <family val="2"/>
        <scheme val="minor"/>
      </rPr>
      <t xml:space="preserve">
• Newport
   - </t>
    </r>
    <r>
      <rPr>
        <sz val="10"/>
        <color theme="1"/>
        <rFont val="Calibri"/>
        <family val="2"/>
        <scheme val="minor"/>
      </rPr>
      <t>$2.00 per carton (pack: $0.20)
     Buy 2 Save $0.40</t>
    </r>
    <r>
      <rPr>
        <b/>
        <sz val="10"/>
        <color theme="1"/>
        <rFont val="Calibri"/>
        <family val="2"/>
        <scheme val="minor"/>
      </rPr>
      <t xml:space="preserve">
• Camel</t>
    </r>
    <r>
      <rPr>
        <sz val="10"/>
        <color theme="1"/>
        <rFont val="Calibri"/>
        <family val="2"/>
        <scheme val="minor"/>
      </rPr>
      <t xml:space="preserve">: 
  - $3.00 per carton (pack: $0.30)
    Buy 2, Save $0.60
</t>
    </r>
  </si>
  <si>
    <r>
      <rPr>
        <b/>
        <u/>
        <sz val="10"/>
        <color theme="1"/>
        <rFont val="Calibri"/>
        <family val="2"/>
        <scheme val="minor"/>
      </rPr>
      <t>Outlet Only Funded Multi-Pack + MFG Coupon</t>
    </r>
    <r>
      <rPr>
        <sz val="10"/>
        <color theme="1"/>
        <rFont val="Calibri"/>
        <family val="2"/>
        <scheme val="minor"/>
      </rPr>
      <t xml:space="preserve"> 
Buy 2, Save $0.50
•Coupon - $1.00 off a pack of Newport</t>
    </r>
  </si>
  <si>
    <r>
      <rPr>
        <b/>
        <u/>
        <sz val="10"/>
        <color theme="1"/>
        <rFont val="Calibri"/>
        <family val="2"/>
        <scheme val="minor"/>
      </rPr>
      <t xml:space="preserve">Newport Multi-Pack + MFG Coupon </t>
    </r>
    <r>
      <rPr>
        <sz val="10"/>
        <color theme="1"/>
        <rFont val="Calibri"/>
        <family val="2"/>
        <scheme val="minor"/>
      </rPr>
      <t xml:space="preserve">
• Newport 
   -$5.00 per carton (pack: $0.50)
    Buy 2 Save $1.00
•Coupon - $1.00 off a pack of Newport
•Coupon - $5.00 of a carton of Newport</t>
    </r>
  </si>
  <si>
    <t>18a</t>
  </si>
  <si>
    <r>
      <rPr>
        <b/>
        <u/>
        <sz val="10"/>
        <color theme="1"/>
        <rFont val="Calibri"/>
        <family val="2"/>
        <scheme val="minor"/>
      </rPr>
      <t>Marlboro Loyalty 3pk</t>
    </r>
    <r>
      <rPr>
        <b/>
        <sz val="10"/>
        <color theme="1"/>
        <rFont val="Calibri"/>
        <family val="2"/>
        <scheme val="minor"/>
      </rPr>
      <t xml:space="preserve">
</t>
    </r>
    <r>
      <rPr>
        <sz val="10"/>
        <color theme="1"/>
        <rFont val="Calibri"/>
        <family val="2"/>
        <scheme val="minor"/>
      </rPr>
      <t xml:space="preserve">Save $1.50 with the minimum purchase of 3 Marlboro packs
</t>
    </r>
  </si>
  <si>
    <t>VUSE ALTO POD MENTHOL 5.0% 4/PK</t>
  </si>
  <si>
    <r>
      <rPr>
        <b/>
        <u/>
        <sz val="10"/>
        <color theme="1"/>
        <rFont val="Calibri"/>
        <family val="2"/>
        <scheme val="minor"/>
      </rPr>
      <t>JBF</t>
    </r>
    <r>
      <rPr>
        <sz val="10"/>
        <color theme="1"/>
        <rFont val="Calibri"/>
        <family val="2"/>
        <scheme val="minor"/>
      </rPr>
      <t xml:space="preserve"> - Pall Mall $0.20 per pack</t>
    </r>
  </si>
  <si>
    <t>JBF</t>
  </si>
  <si>
    <t>RJR Buydown</t>
  </si>
  <si>
    <r>
      <rPr>
        <b/>
        <u/>
        <sz val="10"/>
        <color theme="1"/>
        <rFont val="Calibri"/>
        <family val="2"/>
        <scheme val="minor"/>
      </rPr>
      <t>MFG VAP Discount</t>
    </r>
    <r>
      <rPr>
        <u/>
        <sz val="10"/>
        <color theme="1"/>
        <rFont val="Calibri"/>
        <family val="2"/>
        <scheme val="minor"/>
      </rPr>
      <t xml:space="preserve"> </t>
    </r>
    <r>
      <rPr>
        <sz val="10"/>
        <color theme="1"/>
        <rFont val="Calibri"/>
        <family val="2"/>
        <scheme val="minor"/>
      </rPr>
      <t>- Grizzly B2G $1.00 
Cans are bundled together in cardboard sleeve buy 2 save $1</t>
    </r>
  </si>
  <si>
    <r>
      <rPr>
        <b/>
        <u/>
        <sz val="10"/>
        <color theme="1"/>
        <rFont val="Calibri"/>
        <family val="2"/>
        <scheme val="minor"/>
      </rPr>
      <t>Grizzly Multi-Can Buy 2 Get $1 VAP 2Fer Bundle</t>
    </r>
    <r>
      <rPr>
        <b/>
        <sz val="10"/>
        <color theme="1"/>
        <rFont val="Calibri"/>
        <family val="2"/>
        <scheme val="minor"/>
      </rPr>
      <t xml:space="preserve">
</t>
    </r>
    <r>
      <rPr>
        <sz val="10"/>
        <color theme="1"/>
        <rFont val="Calibri"/>
        <family val="2"/>
        <scheme val="minor"/>
      </rPr>
      <t xml:space="preserve">$1.25 per roll (can: $0.25)  Buy 2, Save $0.50
Cans are bundled together in cardboard sleeve buy 2 save $1
</t>
    </r>
  </si>
  <si>
    <r>
      <rPr>
        <b/>
        <u/>
        <sz val="10"/>
        <color theme="1"/>
        <rFont val="Calibri"/>
        <family val="2"/>
        <scheme val="minor"/>
      </rPr>
      <t>Camel, Newport and Pall Mall MFG Multi-Pack Mix &amp; Match</t>
    </r>
    <r>
      <rPr>
        <b/>
        <sz val="10"/>
        <color theme="1"/>
        <rFont val="Calibri"/>
        <family val="2"/>
        <scheme val="minor"/>
      </rPr>
      <t xml:space="preserve">
</t>
    </r>
    <r>
      <rPr>
        <sz val="10"/>
        <color theme="1"/>
        <rFont val="Calibri"/>
        <family val="2"/>
        <scheme val="minor"/>
      </rPr>
      <t xml:space="preserve">• </t>
    </r>
    <r>
      <rPr>
        <b/>
        <sz val="10"/>
        <color theme="1"/>
        <rFont val="Calibri"/>
        <family val="2"/>
        <scheme val="minor"/>
      </rPr>
      <t xml:space="preserve">Camel / Newport </t>
    </r>
    <r>
      <rPr>
        <sz val="10"/>
        <color theme="1"/>
        <rFont val="Calibri"/>
        <family val="2"/>
        <scheme val="minor"/>
      </rPr>
      <t xml:space="preserve">
   -$2.00 per carton (pack: $0.20)
    Buy 2 Save $0.40
• </t>
    </r>
    <r>
      <rPr>
        <b/>
        <sz val="10"/>
        <color theme="1"/>
        <rFont val="Calibri"/>
        <family val="2"/>
        <scheme val="minor"/>
      </rPr>
      <t>Pall Mall</t>
    </r>
    <r>
      <rPr>
        <sz val="10"/>
        <color theme="1"/>
        <rFont val="Calibri"/>
        <family val="2"/>
        <scheme val="minor"/>
      </rPr>
      <t xml:space="preserve">
  -$2.50 per carton (pack: $0.25)
   Buy 2, Save $0.50</t>
    </r>
    <r>
      <rPr>
        <b/>
        <sz val="10"/>
        <color theme="1"/>
        <rFont val="Calibri"/>
        <family val="2"/>
        <scheme val="minor"/>
      </rPr>
      <t xml:space="preserve">
</t>
    </r>
  </si>
  <si>
    <r>
      <rPr>
        <b/>
        <u/>
        <sz val="10"/>
        <color theme="1"/>
        <rFont val="Calibri"/>
        <family val="2"/>
        <scheme val="minor"/>
      </rPr>
      <t>Newport MFG Multi-Pack + Outlet Funded Multi-Pack + MFG Coupon</t>
    </r>
    <r>
      <rPr>
        <b/>
        <sz val="10"/>
        <color theme="1"/>
        <rFont val="Calibri"/>
        <family val="2"/>
        <scheme val="minor"/>
      </rPr>
      <t xml:space="preserve">
</t>
    </r>
    <r>
      <rPr>
        <sz val="10"/>
        <color theme="1"/>
        <rFont val="Calibri"/>
        <family val="2"/>
        <scheme val="minor"/>
      </rPr>
      <t>•</t>
    </r>
    <r>
      <rPr>
        <b/>
        <sz val="10"/>
        <color theme="1"/>
        <rFont val="Calibri"/>
        <family val="2"/>
        <scheme val="minor"/>
      </rPr>
      <t xml:space="preserve"> Newport Multi-Pack
</t>
    </r>
    <r>
      <rPr>
        <sz val="10"/>
        <color theme="1"/>
        <rFont val="Calibri"/>
        <family val="2"/>
        <scheme val="minor"/>
      </rPr>
      <t xml:space="preserve">   -$2.00 per carton (pack: $0.20)
    Buy 2 Save $0.40
• $0.20 – Account funded ($0.10 per pack)
•Coupon - $1.00 off a pack of Newport</t>
    </r>
  </si>
  <si>
    <r>
      <rPr>
        <b/>
        <u/>
        <sz val="10"/>
        <color theme="1"/>
        <rFont val="Calibri"/>
        <family val="2"/>
        <scheme val="minor"/>
      </rPr>
      <t xml:space="preserve">Camel MFG Multi-Pack + Camel $.075 off VAP </t>
    </r>
    <r>
      <rPr>
        <b/>
        <sz val="10"/>
        <color theme="1"/>
        <rFont val="Calibri"/>
        <family val="2"/>
        <scheme val="minor"/>
      </rPr>
      <t xml:space="preserve">
</t>
    </r>
    <r>
      <rPr>
        <sz val="10"/>
        <color theme="1"/>
        <rFont val="Calibri"/>
        <family val="2"/>
        <scheme val="minor"/>
      </rPr>
      <t>•</t>
    </r>
    <r>
      <rPr>
        <b/>
        <sz val="10"/>
        <color theme="1"/>
        <rFont val="Calibri"/>
        <family val="2"/>
        <scheme val="minor"/>
      </rPr>
      <t xml:space="preserve"> Camel Multi-Pack
</t>
    </r>
    <r>
      <rPr>
        <sz val="10"/>
        <color theme="1"/>
        <rFont val="Calibri"/>
        <family val="2"/>
        <scheme val="minor"/>
      </rPr>
      <t xml:space="preserve">   -$2.00 per carton (pack: $0.20)
    Buy 2 Save $0.40</t>
    </r>
  </si>
  <si>
    <r>
      <rPr>
        <b/>
        <u/>
        <sz val="10"/>
        <color theme="1"/>
        <rFont val="Calibri"/>
        <family val="2"/>
        <scheme val="minor"/>
      </rPr>
      <t xml:space="preserve">Camel MFG Multi-Pack + Outlet Funded Multi-Pack + Camel $.075 off VAP </t>
    </r>
    <r>
      <rPr>
        <b/>
        <sz val="10"/>
        <color theme="1"/>
        <rFont val="Calibri"/>
        <family val="2"/>
        <scheme val="minor"/>
      </rPr>
      <t xml:space="preserve">
</t>
    </r>
    <r>
      <rPr>
        <sz val="10"/>
        <color theme="1"/>
        <rFont val="Calibri"/>
        <family val="2"/>
        <scheme val="minor"/>
      </rPr>
      <t>•</t>
    </r>
    <r>
      <rPr>
        <b/>
        <sz val="10"/>
        <color theme="1"/>
        <rFont val="Calibri"/>
        <family val="2"/>
        <scheme val="minor"/>
      </rPr>
      <t xml:space="preserve"> Camel Multi-Pack
</t>
    </r>
    <r>
      <rPr>
        <sz val="10"/>
        <color theme="1"/>
        <rFont val="Calibri"/>
        <family val="2"/>
        <scheme val="minor"/>
      </rPr>
      <t xml:space="preserve">   -$2.00 per carton (pack: $0.20)
    Buy 2 Save $0.40</t>
    </r>
    <r>
      <rPr>
        <b/>
        <sz val="10"/>
        <color theme="1"/>
        <rFont val="Calibri"/>
        <family val="2"/>
        <scheme val="minor"/>
      </rPr>
      <t xml:space="preserve">
•</t>
    </r>
    <r>
      <rPr>
        <sz val="10"/>
        <color theme="1"/>
        <rFont val="Calibri"/>
        <family val="2"/>
        <scheme val="minor"/>
      </rPr>
      <t xml:space="preserve"> $0.20 – Account funded ($0.10 per pack/$1.00 per carton)</t>
    </r>
  </si>
  <si>
    <r>
      <rPr>
        <b/>
        <u/>
        <sz val="10"/>
        <color theme="1"/>
        <rFont val="Calibri"/>
        <family val="2"/>
        <scheme val="minor"/>
      </rPr>
      <t xml:space="preserve">Camel MFG Multi-Pack + Outlet Funded Multi-Pack + Camel $.075 off VAP + MFG Coupon </t>
    </r>
    <r>
      <rPr>
        <b/>
        <sz val="10"/>
        <color theme="1"/>
        <rFont val="Calibri"/>
        <family val="2"/>
        <scheme val="minor"/>
      </rPr>
      <t xml:space="preserve">
</t>
    </r>
    <r>
      <rPr>
        <sz val="10"/>
        <color theme="1"/>
        <rFont val="Calibri"/>
        <family val="2"/>
        <scheme val="minor"/>
      </rPr>
      <t>•</t>
    </r>
    <r>
      <rPr>
        <b/>
        <sz val="10"/>
        <color theme="1"/>
        <rFont val="Calibri"/>
        <family val="2"/>
        <scheme val="minor"/>
      </rPr>
      <t xml:space="preserve"> Camel Multi-Pack
</t>
    </r>
    <r>
      <rPr>
        <sz val="10"/>
        <color theme="1"/>
        <rFont val="Calibri"/>
        <family val="2"/>
        <scheme val="minor"/>
      </rPr>
      <t xml:space="preserve">   -$2.00 per carton (pack: $0.20)
    Buy 2 Save $0.40</t>
    </r>
    <r>
      <rPr>
        <b/>
        <sz val="10"/>
        <color theme="1"/>
        <rFont val="Calibri"/>
        <family val="2"/>
        <scheme val="minor"/>
      </rPr>
      <t xml:space="preserve">
•</t>
    </r>
    <r>
      <rPr>
        <sz val="10"/>
        <color theme="1"/>
        <rFont val="Calibri"/>
        <family val="2"/>
        <scheme val="minor"/>
      </rPr>
      <t xml:space="preserve"> $0.20 – Account funded ($0.10 per pack/$1.00 per carton)</t>
    </r>
    <r>
      <rPr>
        <b/>
        <sz val="10"/>
        <color theme="1"/>
        <rFont val="Calibri"/>
        <family val="2"/>
        <scheme val="minor"/>
      </rPr>
      <t xml:space="preserve">
• </t>
    </r>
    <r>
      <rPr>
        <sz val="10"/>
        <color theme="1"/>
        <rFont val="Calibri"/>
        <family val="2"/>
        <scheme val="minor"/>
      </rPr>
      <t>Coupon - $1.00 off 1 pack of Camel
• Coupon - $3.00 off 1 carton of Camel</t>
    </r>
  </si>
  <si>
    <t>RJR VAP $1.00 OFF</t>
  </si>
  <si>
    <t>USST Buydown</t>
  </si>
  <si>
    <t>Marl Buydown</t>
  </si>
  <si>
    <r>
      <rPr>
        <b/>
        <u/>
        <sz val="10"/>
        <color theme="1"/>
        <rFont val="Calibri"/>
        <family val="2"/>
        <scheme val="minor"/>
      </rPr>
      <t>Camel MFG Multi-Pack + JBF</t>
    </r>
    <r>
      <rPr>
        <b/>
        <sz val="10"/>
        <color theme="1"/>
        <rFont val="Calibri"/>
        <family val="2"/>
        <scheme val="minor"/>
      </rPr>
      <t xml:space="preserve">
• Camel</t>
    </r>
    <r>
      <rPr>
        <sz val="10"/>
        <color theme="1"/>
        <rFont val="Calibri"/>
        <family val="2"/>
        <scheme val="minor"/>
      </rPr>
      <t xml:space="preserve">: 
  - $3.00 per carton (pack: $0.30)
    Buy 2, Save $0.60
• JBF - save additional $1.00 off 2 packs Camel
</t>
    </r>
  </si>
  <si>
    <r>
      <rPr>
        <b/>
        <u/>
        <sz val="10"/>
        <color theme="1"/>
        <rFont val="Calibri"/>
        <family val="2"/>
        <scheme val="minor"/>
      </rPr>
      <t>Newport MFG Multi-Pack + Outlet Funded Multi-Pack + JBF + MFG Coupon</t>
    </r>
    <r>
      <rPr>
        <b/>
        <sz val="10"/>
        <color theme="1"/>
        <rFont val="Calibri"/>
        <family val="2"/>
        <scheme val="minor"/>
      </rPr>
      <t xml:space="preserve">
</t>
    </r>
    <r>
      <rPr>
        <sz val="10"/>
        <color theme="1"/>
        <rFont val="Calibri"/>
        <family val="2"/>
        <scheme val="minor"/>
      </rPr>
      <t>•</t>
    </r>
    <r>
      <rPr>
        <b/>
        <sz val="10"/>
        <color theme="1"/>
        <rFont val="Calibri"/>
        <family val="2"/>
        <scheme val="minor"/>
      </rPr>
      <t xml:space="preserve"> Newport Multi-Pack
</t>
    </r>
    <r>
      <rPr>
        <sz val="10"/>
        <color theme="1"/>
        <rFont val="Calibri"/>
        <family val="2"/>
        <scheme val="minor"/>
      </rPr>
      <t xml:space="preserve">   -$2.00 per carton (pack: $0.20)
    Buy 2 Save $0.40
• $0.20 – Account funded ($0.10 per pack)
•JBF - Save additional $1.00 off 2 packs Newport 
•Coupon - $1.00 off a pack of Newport</t>
    </r>
  </si>
  <si>
    <t>GRIZZLY WNTRGRN LC</t>
  </si>
  <si>
    <t>CAN</t>
  </si>
  <si>
    <r>
      <rPr>
        <b/>
        <u/>
        <sz val="10"/>
        <color theme="1"/>
        <rFont val="Calibri"/>
        <family val="2"/>
        <scheme val="minor"/>
      </rPr>
      <t xml:space="preserve">USST Loyalty </t>
    </r>
    <r>
      <rPr>
        <b/>
        <sz val="10"/>
        <color theme="1"/>
        <rFont val="Calibri"/>
        <family val="2"/>
        <scheme val="minor"/>
      </rPr>
      <t xml:space="preserve">
</t>
    </r>
    <r>
      <rPr>
        <sz val="10"/>
        <color theme="1"/>
        <rFont val="Calibri"/>
        <family val="2"/>
        <scheme val="minor"/>
      </rPr>
      <t>Save $.50 on the total transaction when you buy 2</t>
    </r>
  </si>
  <si>
    <t>Store 459</t>
  </si>
  <si>
    <t>Albuquerque</t>
  </si>
  <si>
    <t>NM</t>
  </si>
  <si>
    <t>2022-07-18-22:02</t>
  </si>
  <si>
    <t>3h4dff7862as7</t>
  </si>
  <si>
    <t>2022-07-18-22:41:00</t>
  </si>
  <si>
    <t>ROLL</t>
  </si>
  <si>
    <t>32a</t>
  </si>
  <si>
    <t>PACK</t>
  </si>
  <si>
    <t>VUSE ALTO POD GOLDEN TOBACCO 5.0% 4/PK</t>
  </si>
  <si>
    <t>2022-01-18-21:02</t>
  </si>
  <si>
    <t>CARTON</t>
  </si>
  <si>
    <t>012300197410</t>
  </si>
  <si>
    <t>CAMEL CRUSH 85 BOX</t>
  </si>
  <si>
    <t>012300197403</t>
  </si>
  <si>
    <t>2023-01-15-22:02</t>
  </si>
  <si>
    <t>Promotions MUST BE SCRIPTED to appropriate fields. PROMO UPCs transactions are dropped from processing and will NOT BE DELIVERED to Reynolds American.</t>
  </si>
  <si>
    <t>PRICE and DISCOUNTS REPORTED should always be reported as the PER SINGLE SALES UNIT value, not the total offer discount or extended price (QTY x UNIT PRICE)</t>
  </si>
  <si>
    <t>Discounts and final price reporting are dependent on the QTY purchased, and the QTY eligible for the discount.</t>
  </si>
  <si>
    <t>Reporting options below provide examples as single-line e or split-line market baskets for both can &amp; roll UPCs</t>
  </si>
  <si>
    <t xml:space="preserve">This is the unique ID associated with a consumer's loyalty program membership. It should not be masked. It should not be a phone number, but the actual unique member ID affiliated with the retailer's loyalty program. If can be an alpha numeric or numeric value. </t>
  </si>
  <si>
    <t xml:space="preserve"> Reporting Option</t>
  </si>
  <si>
    <t>NON-PROMOTED UPC for COMPARISON TO OFFER REPORTING EXAMPLES</t>
  </si>
  <si>
    <t>NEWPORT MENTHOL 100 BOX</t>
  </si>
  <si>
    <t>The offer item should have PROMO FLAG = Y  in field 17, offer discount reported in field 25, the offer description in field 34, and  the retailer's customer loyalty ID reported in field 33.</t>
  </si>
  <si>
    <t>Qty 2 Pack UPC  Offer is $1.00/pack with a max offer discount is $2.00</t>
  </si>
  <si>
    <r>
      <t xml:space="preserve">Split-line market basket:  the discounted item should have the discount  in field 25, the offer description on each line item in field 34, the promo flag = Y on the offer item line only. </t>
    </r>
    <r>
      <rPr>
        <sz val="10"/>
        <color rgb="FFFF0000"/>
        <rFont val="Calibri Light"/>
        <family val="2"/>
        <scheme val="major"/>
      </rPr>
      <t xml:space="preserve">The retailer's customer loyalty ID on all lines in the market basket, including any items that did not qualify for the offer. </t>
    </r>
  </si>
  <si>
    <t xml:space="preserve">The discounted items should have the discount  in field 25, the offer description on each line item in field 34, the promo flag = Y on the offer items. </t>
  </si>
  <si>
    <t>THIS OFFER IS NOT APPLICABLE TO MORE THAN 2 UNITS.  Transactions with a QTY  greater than the OFFER MAX QTY require appropriate PRICE and DISCOUNT REPORTING. AVG PRICE and AVG DISCOUNT based on QTY</t>
  </si>
  <si>
    <t xml:space="preserve">Here the discount amount and price is averaged across the entire purchase qty of the trigger UPC. </t>
  </si>
  <si>
    <t xml:space="preserve">The offer item should have PROMO FLAG = Y  in field 17, offer discount reported in field 25, the offer description in field 34, and  the retailer's customer loyalty ID reported in field 33 on  BOTH units in the Market Basket. </t>
  </si>
  <si>
    <t>All RMSC RLFP offers will have a unique Coupon Description, or offer code, assigned and are issued separately by each individual RMSC offer.    Please reference the offer announcement to ensure accuracy of reporting.  The codes included on this sheet are for example purposes only</t>
  </si>
  <si>
    <t>Qty 1 Carton - Mulitpack $5/ctn  + RLFP Offer $1.00/pack with a max offer  $2.00</t>
  </si>
  <si>
    <t>Qty 2 Pack - Multipack $5/ctn (.50 per pack) + RLFP Offer $1.00/pack with a max offer $2.00</t>
  </si>
  <si>
    <t>Mix and Match Multipack + RLFP - Qty 1 Pack Camel  (.50 pack MP + $1.00 RLFP) and 1 pack Newport (1.00 MP + .50 RLFP)</t>
  </si>
  <si>
    <t>Qty 3 Packs - Multipack $5/ctn (.50 per pack) + RLFP Offer $.50/pack with a max offer $1.00</t>
  </si>
  <si>
    <t>Total RFLP discount applied was $1.00 (max per transaction). Multipack set up  is not additive, but multiples of 2 only. Total MP discount applied here is $1.00 on 2units vs. $1.50 on 3. Only products receiving MP discount should be flagged as MP</t>
  </si>
  <si>
    <t>Qty 3 Packs - Multipack $5/ctn (.50 per pack) + RLFP Offer $1.00/pack with a max offer $2.00</t>
  </si>
  <si>
    <r>
      <t xml:space="preserve">The offer items  should have PROMO FLAG = Y  in field 17. </t>
    </r>
    <r>
      <rPr>
        <sz val="10"/>
        <color rgb="FFFF0000"/>
        <rFont val="Calibri Light"/>
        <family val="2"/>
        <scheme val="major"/>
      </rPr>
      <t>Split line reporting allows the coupon detail to apply only to one line item. Coupon UPC /PID in field 24, and coupon discount combined with RFLP offer discount reported in field 25</t>
    </r>
    <r>
      <rPr>
        <sz val="10"/>
        <rFont val="Calibri Light"/>
        <family val="2"/>
        <scheme val="major"/>
      </rPr>
      <t xml:space="preserve">, the RFLP offer  description in field 34, and the retailer's customer loyalty ID reported in field 33 on all items in the basket. </t>
    </r>
    <r>
      <rPr>
        <b/>
        <sz val="10"/>
        <rFont val="Calibri Light"/>
        <family val="2"/>
        <scheme val="major"/>
      </rPr>
      <t>MP details in fields 26,27, 28, 32; only on the units that got the MP Discount.</t>
    </r>
    <r>
      <rPr>
        <sz val="10"/>
        <rFont val="Calibri Light"/>
        <family val="2"/>
        <scheme val="major"/>
      </rPr>
      <t xml:space="preserve"> </t>
    </r>
  </si>
  <si>
    <t>Qty 3 Packs - Multipack $5/ctn (.50 per pack) + RLFP Offer $1.00/pack with a max offer $2.00 + MFG Coupon CAM $1 OFF 2 PK</t>
  </si>
  <si>
    <t xml:space="preserve">The offer items  should have PROMO FLAG = Y  in field 17. Split line reporting allows the coupon and MP detail to apply only to one line item. Coupon UPC /PID in field 24, and coupon discount combined with RFLP offer discount reported in field 25, the RFLP offer  description in field 34, and the retailer's customer loyalty ID reported in field 33 on all items in the basket. MP details in fields 26,27, 28, 32; only on the units that got the MP Discount. The MFG Coupon UPC reported in Field 24 and the amount is added into Field 25.  </t>
  </si>
  <si>
    <t>Qty 2 Packs - 1 Camel + 1 Newport  - Multipack $5/ctn (.50 per pack) + RLFP Offer $1.00/pack Camel with max offer $2.00, $.50/pack Newport with a max offer $1.00 + MFG Coupon NEWP $.50 OFF 1 PK</t>
  </si>
  <si>
    <t>Qty 2 Pack UPC  Offer is $1.00/pack with a max offer discount is $2.00 + MFG Multi Pack offer $1 off per pack when you buy 2 +MFG Coupon .50 off 1 Camel + JBF Buy 2 Save $1.00 (.50/pack)</t>
  </si>
  <si>
    <r>
      <t xml:space="preserve">Split-line market basket:  the discounted item should have the discount  in field 25, the offer description on each line item in field 34, the promo flag = Y on the offer item line only. </t>
    </r>
    <r>
      <rPr>
        <sz val="10"/>
        <color rgb="FFFF0000"/>
        <rFont val="Calibri Light"/>
        <family val="2"/>
        <scheme val="major"/>
      </rPr>
      <t xml:space="preserve">The retailer's customer loyalty ID on all lines in the market basket, including any items that did not qualify for the offer. </t>
    </r>
    <r>
      <rPr>
        <sz val="10"/>
        <rFont val="Calibri Light"/>
        <family val="2"/>
        <scheme val="major"/>
      </rPr>
      <t xml:space="preserve"> MFG MP Flag = Y (Field 26), MFG MP Quantity = 2 (Field 27), MFG MP Disc Amount applied per single unit (Field 28), MFG MP Description (Field 32). Coupon offer amount is added into field 25 along with Loyalty.  JBF in Field 23 with promo description in Field 29.</t>
    </r>
  </si>
  <si>
    <t>JBF B2S$1</t>
  </si>
  <si>
    <t>Qty 2 Carton UPC  RLFP Offer $1.00/pack with a max offer  $2.00</t>
  </si>
  <si>
    <t>Qty 3 Packs   RLFP Offer $1.00/pack with a max offer  $2.00</t>
  </si>
  <si>
    <t>Qty 1 Pack UPC   RLFP Offer $1.00/pack with a max offer  $2.00</t>
  </si>
  <si>
    <t>Qty 1 Carton  UPC   RLFP Offer $1.00/pack with a max offer  $2.00</t>
  </si>
  <si>
    <t>Mix and Match - Qty 1 Pack Camel and 1 pack Newport    RLFP Offer $1.00/pack with a max offer  $2.00</t>
  </si>
  <si>
    <t>32b</t>
  </si>
  <si>
    <t>33c</t>
  </si>
  <si>
    <t>33d</t>
  </si>
  <si>
    <t>33e</t>
  </si>
  <si>
    <t>34a - correct &amp; ideal reporting</t>
  </si>
  <si>
    <t>34b - not preferred</t>
  </si>
  <si>
    <t>35a</t>
  </si>
  <si>
    <t>35b</t>
  </si>
  <si>
    <t>35c</t>
  </si>
  <si>
    <t>37a - incorrect reporting</t>
  </si>
  <si>
    <t>37b - correct</t>
  </si>
  <si>
    <t>41a</t>
  </si>
  <si>
    <t>41b</t>
  </si>
  <si>
    <t xml:space="preserve">This is the unique ID associated with a consumer's loyalty program membership. It should not be masked. It should not be a phone number, but the actual unique member ID affliated with the retailer's loyatly program. If can be an alph anumeric or numeric value. </t>
  </si>
  <si>
    <t>00042100008715</t>
  </si>
  <si>
    <t>GRIZZLY WINTERGREEN POUCHES</t>
  </si>
  <si>
    <t>For split-line market baskets of more than one line item, the offer items should have PROMO FLAG = Y  in field 17, offer discounts reported in field 25, the offer descriptions in field 34, and the retailer's customer loyalty ID reported in field 33.</t>
  </si>
  <si>
    <t>LOYALTY OFFERS ARE NOT INCREMENTAL. Transactions with a QTY  greater than the OFFER MAX QTY require appropriate PRICE and DISCOUNT REPORTING. AVG PRICE and AVG DISCOUNT based on QTY</t>
  </si>
  <si>
    <t xml:space="preserve">Qty 7 CANS: the loyalty offer is not incremental </t>
  </si>
  <si>
    <t>2022-07-18-22:06</t>
  </si>
  <si>
    <t>00042100012187</t>
  </si>
  <si>
    <t xml:space="preserve">Qty 2 ROLLS: the loyalty offer is not incremental </t>
  </si>
  <si>
    <t>Grizzly MCE</t>
  </si>
  <si>
    <t xml:space="preserve">The offer item should have PROMO FLAG = Y  in field 17; Coupon UPC /PID in field 24, and coupon discount combined with RFLP offer discount reported in field 25, the RFLP offer  description in field 34, and  the retailer's customer loyalty ID reported in field 33. MP details in fields 26,27, 28, 32; </t>
  </si>
  <si>
    <t>542100130763</t>
  </si>
  <si>
    <t xml:space="preserve">If Grizzly MCE set up is not additive, but multiples of 2 (even quantities) only. Total MP discount applied here is $2.00 on 4 units vs. $2.50 on 5. DO NOT FLAG AS MP units that DO NOT GET MP DISCOUNTS.  See example b2 on how to report this scenario accurately.  </t>
  </si>
  <si>
    <r>
      <t xml:space="preserve">The offer items  should have PROMO FLAG = Y  in field 17. </t>
    </r>
    <r>
      <rPr>
        <sz val="10"/>
        <color rgb="FFFF0000"/>
        <rFont val="Calibri Light"/>
        <family val="2"/>
        <scheme val="major"/>
      </rPr>
      <t>Split line reporting allows the coupon detail to apply only to one line item. Coupon UPC /PID in field 24, and coupon discount combined with RFLP offer discount reported in field 25</t>
    </r>
    <r>
      <rPr>
        <sz val="10"/>
        <rFont val="Calibri Light"/>
        <family val="2"/>
        <scheme val="major"/>
      </rPr>
      <t xml:space="preserve">, the RFLP offer  description in field 34, and the retailer's customer loyalty ID reported in field 33. </t>
    </r>
    <r>
      <rPr>
        <b/>
        <sz val="10"/>
        <rFont val="Calibri Light"/>
        <family val="2"/>
        <scheme val="major"/>
      </rPr>
      <t>MP details in fields 26,27, 28, 32; only on the units that got the MP Discount.</t>
    </r>
    <r>
      <rPr>
        <sz val="10"/>
        <rFont val="Calibri Light"/>
        <family val="2"/>
        <scheme val="major"/>
      </rPr>
      <t xml:space="preserve"> </t>
    </r>
  </si>
  <si>
    <r>
      <t xml:space="preserve">The offer items  should have PROMO FLAG = Y  in field 17. </t>
    </r>
    <r>
      <rPr>
        <sz val="10"/>
        <color rgb="FFFF0000"/>
        <rFont val="Calibri Light"/>
        <family val="2"/>
        <scheme val="major"/>
      </rPr>
      <t>Split line reporting allows the coupon detail to apply only to one line item. Coupon UPC /PID in field 24, and coupon discount combined with RFLP offer discount reported in field 25</t>
    </r>
    <r>
      <rPr>
        <sz val="10"/>
        <rFont val="Calibri Light"/>
        <family val="2"/>
        <scheme val="major"/>
      </rPr>
      <t xml:space="preserve">, the RFLP offer  description in field 34, and the retailer's customer loyalty ID reported in field 33. MP details in fields 26,27, 28, 32; </t>
    </r>
  </si>
  <si>
    <r>
      <t xml:space="preserve">The offer items  should have PROMO FLAG = Y  in field 17. </t>
    </r>
    <r>
      <rPr>
        <sz val="10"/>
        <color rgb="FFFF0000"/>
        <rFont val="Calibri Light"/>
        <family val="2"/>
        <scheme val="major"/>
      </rPr>
      <t>Split line reporting allows the coupon detail to apply only to one line item. Coupon UPC /PID in field 24, and coupon discount combined with RFLP offer discount reported in field 25</t>
    </r>
    <r>
      <rPr>
        <sz val="10"/>
        <rFont val="Calibri Light"/>
        <family val="2"/>
        <scheme val="major"/>
      </rPr>
      <t>, the RFLP offer  description in field 34, and the retailer's customer loyalty ID reported in field 33.</t>
    </r>
    <r>
      <rPr>
        <b/>
        <sz val="10"/>
        <rFont val="Calibri Light"/>
        <family val="2"/>
        <scheme val="major"/>
      </rPr>
      <t xml:space="preserve"> MP details in fields 26,27, 28, 32; only on the units that got the MP Discount. </t>
    </r>
  </si>
  <si>
    <t>RJR JBF</t>
  </si>
  <si>
    <t xml:space="preserve">Here the Market Basket is split into two transactions. Both have MP reporting as this example reflects an incremental MP set up. The Loyalty offer applied only to the 1st transaction of 5 cans. The coupon applied to the 2nd transaction of 2 units. However, the coupon could be applied to either line in the transaction. </t>
  </si>
  <si>
    <t xml:space="preserve">Here the all promo discounts and price is averaged across the entire purchase qty of the trigger UPC.  This is NOT ideal reporting b/c the coupon applies to only one unit in the market basket, and the RFLP offer to only 5 units. RAI asks you report as shown in d1. </t>
  </si>
  <si>
    <t>Reporting options below provide examples as single-line e or split-line market baskets for both pack  &amp; carton UPCs</t>
  </si>
  <si>
    <t>Qty 1 Can - RLFP Offer: Buy 1 Can, Save $0.50 per can, max 5 cans ($2.50 total) per transaction</t>
  </si>
  <si>
    <t>Qty 2 Cans  RLFP Offer: Buy 1 Can, Save $0.50 per can, max 5 cans ($2.50 total) per transaction</t>
  </si>
  <si>
    <t>Qty 3 Cans   RLFP Offer: Buy 1 Can, Save $0.50 per can, max 5 cans ($2.50 total) per transaction</t>
  </si>
  <si>
    <t>Qty 3 Cans Mix and Match - 2 cans of Grizzly LCWG and one can of Grizzly WG Pouch   RLFP Offer: Buy 1 Can, Save $0.50 per can, max 5 cans ($2.50 total) per transaction</t>
  </si>
  <si>
    <t>Qty 5 Cans  RLFP Offer: Buy 1 Can, Save $0.50 per can, max 5 cans ($2.50 total) per transaction</t>
  </si>
  <si>
    <t>Qty 5 Cans  split line market basket   RLFP Offer: Buy 1 Can, Save $0.50 per can, max 5 cans ($2.50 total) per transaction</t>
  </si>
  <si>
    <t xml:space="preserve">Qty 7 CANS: the loyalty offer is not incremental   RLFP Offer: Buy 1 Can, Save $0.50 per can, max 5 cans ($2.50 total) per transaction </t>
  </si>
  <si>
    <t>Qty 1 Roll   RLFP Offer: Buy 1 Can, Save $0.50 per can, max 5 cans ($2.50 total) per transaction</t>
  </si>
  <si>
    <t>Qty 2 ROLLS: the loyalty offer is not incremental - split line market basket   RLFP Offer: Buy 1 Can, Save $0.50 per can, max 5 cans ($2.50 total) per transaction</t>
  </si>
  <si>
    <t>Qty 2 Cans   RLFP Offer: Buy 1 Can, Save $0.50 per can, max 5 cans ($2.50 total) per transaction + Grizzly MCE Save $0.50 on 2 or more</t>
  </si>
  <si>
    <t>Qty 3 Cans:   RLFP Offer: Buy 1 Can, Save $0.50 per can, max 5 cans ($2.50 total) per transaction + Grizzly MCE Save $0.50 on 2 or more</t>
  </si>
  <si>
    <t>Qty 3 Cans Mix and Match - 2 cans of Grizzly LCWG and one can of Grizzly WG Pouch.  RLFP Offer: Buy 1 Can, Save $0.50 per can, max 5 cans ($2.50 total) per transaction +  Grizzly MCE Save $0.50 on 2 or more</t>
  </si>
  <si>
    <t>Qty 5 Cans. Promos Applied: RLFP Offer: Buy 1 Can, Save $0.50 per can, max 5 cans ($2.50 total) per transaction + Grizzly MCE Save $0.50 on 2 or more; $1 off 1 can coupon</t>
  </si>
  <si>
    <t>Qty 5 Cans. Promos Applied:  RLFP Offer: Buy 1 Can, Save $0.50 per can, max 5 cans ($2.50 total) per transaction + Grizzly MCE B2G$0.50, $1 off 1 can coupon</t>
  </si>
  <si>
    <t>Qty 5 Cans. RLFP Offer: Buy 1 Can, Save $0.50 per can, max 5 cans ($2.50 total) per transaction +  Grizzly MCE on even quantities only (2 or 4) Save $0.50 on 2, $1 off 1 can coupon</t>
  </si>
  <si>
    <t>Qty 5 Cans. RLFP Offer: Buy 1 Can, Save $0.50 per can, max 5 cans ($2.50 total) per transaction + Grizzly MCE Save $0.50 on 2 or more, $1 off 1 can coupon</t>
  </si>
  <si>
    <t>Qty 5 Cans.  RLFP Offer: Buy 1 Can, Save $0.50 per can, max 5 cans ($2.50 total) per transaction + Grizzly MCE Save $0.50 on 2 or more, $1 off 1 can coupon</t>
  </si>
  <si>
    <t>Qty 5 Cans. RLFP Offer: Buy 1 Can, Save $0.50 per can, max 5 cans ($2.50 total) per transaction + Grizzly MCE on even quantities only (2 or 4) Save $0.50 on 2, $1 off 1 can coupon</t>
  </si>
  <si>
    <t>Qty 5 Cans.  RLFP Offer: Buy 1 Can, Save $0.50 per can, max 5 cans ($2.50 total) per transaction + Grizzly MCE Save $0.50 on 2 or more; $1 off 1 can coupon; $1.00 off JBF when you buy 5</t>
  </si>
  <si>
    <t>Qty 5 Cans.  RLFP Offer: Buy 1 Can, Save $0.50 per can, max 5 cans ($2.50 total) per transaction + Grizzly MCE Save $0.50 on 2 or more, $1 off 1 can coupon; $1.00 off JBF when you buy 5</t>
  </si>
  <si>
    <t>Qty 7 CANS: the loyalty offer is not incremental . RLFP Offer: Buy 1 Can, Save $0.50 per can, max 5 cans ($2.50 total) per transaction + Grizzly MCE Save $0.50 on 2 or more, $1 off 1 can coupon</t>
  </si>
  <si>
    <t>Qty 7 CANS: the loyalty offer is not incremental Promo  RLFP Offer: Buy 1 Can, Save $0.50 per can, max 5 cans ($2.50 total) per transaction + Grizzly MCE Save $0.50 on 2 or more, $1 off 1 can coupon</t>
  </si>
  <si>
    <t>Qty 1 Roll: RLFP Offer: Buy 1 Can, Save $0.50 per can, max 5 cans ($2.50 total) per transaction + Grizzly MCE Save $0.50 on 2 or more ($2.50/roll)</t>
  </si>
  <si>
    <t>Qty 3 Rolls Mix and Match - 2 rolls of Grizzly LCWG and one roll of Grizzly WG Pouch. RLFP Offer: Buy 1 Can, Save $0.50 per can, max 5 cans ($2.50 total) per transaction, Grizzly MCE Save $0.50 on 2 or more  ($2.50/roll)</t>
  </si>
  <si>
    <t xml:space="preserve">Qty 4 Rolls. RLFP Offer: Buy 1 Can, Save $0.50 per can, max 5 cans ($2.50 total) per transaction + Grizzly MCE Save $0.50 on 2 or more ($2.50/roll), $1 off 1 can coupon; $1.00 off JBF when you buy 5 cans </t>
  </si>
  <si>
    <t xml:space="preserve">Qty 4 Rolls.  RLFP Offer: Buy 1 Can, Save $0.50 per can, max 5 cans ($2.50 total) per transaction + Grizzly MCE Save $0.50 on 2 or more ($2.50/roll), $1 off 1 can coupon; $1.00 off JBF when you buy 5 cans </t>
  </si>
  <si>
    <t>42a</t>
  </si>
  <si>
    <t>42b</t>
  </si>
  <si>
    <t>42c</t>
  </si>
  <si>
    <t>42d</t>
  </si>
  <si>
    <t>42e</t>
  </si>
  <si>
    <t>42f</t>
  </si>
  <si>
    <t>42g - correct &amp; ideal reporting</t>
  </si>
  <si>
    <t>42h - not preferred</t>
  </si>
  <si>
    <t>43a</t>
  </si>
  <si>
    <t>43b- correct &amp; ideal reporting</t>
  </si>
  <si>
    <t>43c - not preferred</t>
  </si>
  <si>
    <t>44a</t>
  </si>
  <si>
    <t>44b</t>
  </si>
  <si>
    <t>44c</t>
  </si>
  <si>
    <t>45a</t>
  </si>
  <si>
    <t>45b- incorrect reporting</t>
  </si>
  <si>
    <t>47a</t>
  </si>
  <si>
    <t>45c</t>
  </si>
  <si>
    <t>45d</t>
  </si>
  <si>
    <t>45e</t>
  </si>
  <si>
    <t>47b</t>
  </si>
  <si>
    <t>48a - correct &amp; ideal reporting</t>
  </si>
  <si>
    <t>49b - not preferred</t>
  </si>
  <si>
    <t>50a</t>
  </si>
  <si>
    <t>50b</t>
  </si>
  <si>
    <t>51a</t>
  </si>
  <si>
    <t>51b - also acceptable</t>
  </si>
  <si>
    <t>For MFG funded offers, MFG assign a promo code to their offers. This information is published with the offer announcement and required as part of the promo description. If concatenated to your offer code, it is requested to appear as the prefix/first 5 characters.</t>
  </si>
  <si>
    <t>VELO Wintergreen Pouches 7MG 20Count</t>
  </si>
  <si>
    <t>Velo MP</t>
  </si>
  <si>
    <t>In this example Velo MT set up is not additive, but multiples of 2 only. Total reported MP discount applied here is $3.00 on 3 units vs. $2.00 on 2. Only products receiving MP discount should be flagged as MP</t>
  </si>
  <si>
    <t xml:space="preserve">Here the MB is split into two transactions. Both have MP reporting as this example reflects an incremental MP set up. The Loyalty offer applied only to the 1st transaction of 5 cans. The coupon applied to the 2nd transaction of 2 units. </t>
  </si>
  <si>
    <t xml:space="preserve">Here the all promo discounts and price is averaged across the entire purchase qty of the trigger UPC.  This is NOT ideal reporting b/c the coupon applies to only one unit in the market basket, and the RFLP offer to only 2 units. RAI asks you report as shown in c1. </t>
  </si>
  <si>
    <t>Qty 2 Cans  RLFP Offer: Buy 2 Cans, Get $1.00</t>
  </si>
  <si>
    <t>Qty 2 Cans  split line market basket RLFP Offer: Buy 2 Cans, Get $1.00</t>
  </si>
  <si>
    <t>53a</t>
  </si>
  <si>
    <t>53b</t>
  </si>
  <si>
    <t>54a - correct &amp; ideal reporting</t>
  </si>
  <si>
    <t xml:space="preserve">Qty 3 CANS: RLFP Offer: Buy 2 Cans, Get $1.00 the loyalty offer is not incremental </t>
  </si>
  <si>
    <t>54b - not preferred</t>
  </si>
  <si>
    <t>Qty 1 Roll  RLFP Offer: Buy 2 Cans, Get $1.00</t>
  </si>
  <si>
    <t>56a- correct &amp; ideal reporting</t>
  </si>
  <si>
    <t>Qty 2 ROLLS: RLFP Offer: Buy 2 Cans, Get $1.00  the loyalty offer is not incremental - split line market basket</t>
  </si>
  <si>
    <t>56b - not preferred</t>
  </si>
  <si>
    <t xml:space="preserve">Qty 2 ROLLS: RLFP Offer: Buy 2 Cans, Get $1.00   the loyalty offer is not incremental </t>
  </si>
  <si>
    <t>57a</t>
  </si>
  <si>
    <t>57b</t>
  </si>
  <si>
    <t>Qty 2 Cans. Promos Applied: RLFP Offer: Buy 2 Cans, Get $1.00 + Velo MT Save $1.00 on 2 or more; $1 off 1 can coupon</t>
  </si>
  <si>
    <t>58a - incorrect reporting</t>
  </si>
  <si>
    <t>59b - correct</t>
  </si>
  <si>
    <t>Qty 3 Cans. Promos Applied: RLFP Offer: Buy 2 Cans, Get $1.00 + Velo MT Save $1.00 on 2 or more, $1 off 1 can coupon</t>
  </si>
  <si>
    <t>Qty 2 Cans. Promos Applied: RLFP Offer: Buy 2 Cans, Get $1.00 + Velo  MT Save $1.00 on 2 or more, $1 off 1 can coupon</t>
  </si>
  <si>
    <t>59c- also correct</t>
  </si>
  <si>
    <t>60a - correct &amp; ideal reporting</t>
  </si>
  <si>
    <t>60b - not preferred</t>
  </si>
  <si>
    <t>Qty 7 CANS: the loyalty offer is not incremental Promos Applied: RLFP Offer: Buy 2 Cans, Get $1.00 +, Velo MT Save $1.00 on 2 or more; $1 off 1 can coupon</t>
  </si>
  <si>
    <t>Qty 2 Cans. Promos Applied: RLFP Offer: Buy 2 Cans, Get $1.00 + Velo MT Save $1.00 on 2 or more; Save .50 two cans JBF;  $1 off 1 can coupon</t>
  </si>
  <si>
    <t>2022-01-15-21:43</t>
  </si>
  <si>
    <t>Qty 2 PACKS - Offer 30123 - $3.00 per with max of $6.00</t>
  </si>
  <si>
    <t>The offer item should have PROMO FLAG = Y  in Field 17, offer discount reported in Field 25, the offer description in Field 34, and  the Retailer's customer loyalty ID reported in Field 33.</t>
  </si>
  <si>
    <t>Qty 2 PACKS - Offer 30123 - $3 per with max of $6.00 off- split line market basket</t>
  </si>
  <si>
    <t xml:space="preserve">For split-line market baskets of more than one line item, the offer items should have PROMO FLAG = Y  in Field 17, offer discounts reported in Field 25, the offer description in Field 34,the Retailer's customer loyalty ID reported in Field 33 with the Retailer's customer loyalty ID on all lines in the market basket, including any items that did not qualify for the offer. </t>
  </si>
  <si>
    <t>Qty 1 PACK - Offer 32123 $3.00 Off</t>
  </si>
  <si>
    <t xml:space="preserve">Qty 5 PACKS - Offer 30123 $3.00 per unit, $6.00 max- the loyalty offer is not incremental </t>
  </si>
  <si>
    <t>Qty 5 PACKS - Offer 30123 $3.00 per unit, $6.00 max-The loyalty offer is not incremental - spit line market basket - preferred method</t>
  </si>
  <si>
    <t>Qty 2 PACKS:  Offer 30123, $3.00 each or $6.00 max + Additional Buy 2 Save $5 Offer JBF</t>
  </si>
  <si>
    <t>The offer item should have PROMO FLAG = Y  in Field 17, JBF in Field 23,  Loyalty offer discount reported in Field 25, the offer description in Field 34, and  the Retailer's customer loyalty ID reported in Field 33.</t>
  </si>
  <si>
    <t>B2S$5</t>
  </si>
  <si>
    <t xml:space="preserve">Qty 2 PACKS:  Offer 30123 $3.00  each of $6.00 max + Additional Buy 2 Save $5 Offer JBF  - split line market basket </t>
  </si>
  <si>
    <t xml:space="preserve">For split-line market baskets of more than one line item, the offer items should have PROMO FLAG = Y  in Field 17.  The JBF promo amount per item in Field 23, with the promo description in Field 29. Loyalty  offer discounts reported in Field 25, the offer description in Field 34,the Retailer's customer loyalty ID reported in Field 33 with the Retailer's customer loyalty ID on all lines in the market basket, including any items that did not qualify for the offer. </t>
  </si>
  <si>
    <t>Qty 2 PACKS:  Offer 30123  $3.00 per with $6.00 max + Additional Buy 2 Save $5 Offer JBF + MFG Coupon $2 OFF ANY 1 2CT/4CT VUSE ALTO POD PK</t>
  </si>
  <si>
    <t>The offer item should have PROMO FLAG = Y  in Field 17.  The JBF promo amount per item in Field 23, with the promo description in Field 29. The loyalty offer description in field 34, and the retailer's customer loyalty ID reported in field 33.In this example, there is a coupon UPC reported in field 24, the coupon value is added to the loyalty amount in field 25 where the coupon is shown as applying only to one pack only.</t>
  </si>
  <si>
    <t>Qty 1 CARTON - Offer 30123</t>
  </si>
  <si>
    <t xml:space="preserve">Qty 2 CARTONS: Offer 30123 $3.00 Off, $6.00 max - the loyalty offer is not incremental </t>
  </si>
  <si>
    <t>Qty 2 CARTONS: Offer 30123 $3.00 off, $6.00 max - the loyalty offer is not incremental - spit line market basket</t>
  </si>
  <si>
    <t>62a</t>
  </si>
  <si>
    <t>62b</t>
  </si>
  <si>
    <t>62c</t>
  </si>
  <si>
    <t>63a</t>
  </si>
  <si>
    <t>63b</t>
  </si>
  <si>
    <t>64a</t>
  </si>
  <si>
    <t>64b</t>
  </si>
  <si>
    <t>67a</t>
  </si>
  <si>
    <t>67b</t>
  </si>
  <si>
    <t>Qty 7 CANS: the loyalty offer is not incremental .Promos Applied: RLFP Offer: Buy 2 Cans, Get $1.00 + Velo MT Save $1.00 on 2 or more; $1 off 1 can coupon</t>
  </si>
  <si>
    <t>RMSC does NOT accept alternative promo reporting or PROMO UPCs as transaction line items.</t>
  </si>
  <si>
    <t xml:space="preserve">Currently, the RMSC 34-field format leverages the coupon reporting fields #25 and 34 for LOYALTY OFFER DISCOUNT AND OFFER CODE  REPORTING. </t>
  </si>
  <si>
    <t>RMSC FIELD #</t>
  </si>
  <si>
    <t>VOID</t>
  </si>
  <si>
    <r>
      <rPr>
        <b/>
        <u/>
        <sz val="10"/>
        <color theme="1"/>
        <rFont val="Calibri"/>
        <family val="2"/>
        <scheme val="minor"/>
      </rPr>
      <t>Mobile/Paper Coupon</t>
    </r>
    <r>
      <rPr>
        <sz val="10"/>
        <color theme="1"/>
        <rFont val="Calibri"/>
        <family val="2"/>
        <scheme val="minor"/>
      </rPr>
      <t xml:space="preserve"> - $1.00 off a pack of Camel</t>
    </r>
  </si>
  <si>
    <r>
      <rPr>
        <b/>
        <u/>
        <sz val="10"/>
        <color theme="1"/>
        <rFont val="Calibri"/>
        <family val="2"/>
        <scheme val="minor"/>
      </rPr>
      <t>Mobile/Paper Coupon</t>
    </r>
    <r>
      <rPr>
        <sz val="10"/>
        <color theme="1"/>
        <rFont val="Calibri"/>
        <family val="2"/>
        <scheme val="minor"/>
      </rPr>
      <t xml:space="preserve"> - 4 items purchased, each with a $1.00 off coupon</t>
    </r>
  </si>
  <si>
    <r>
      <rPr>
        <b/>
        <u/>
        <sz val="10"/>
        <color theme="1"/>
        <rFont val="Calibri"/>
        <family val="2"/>
        <scheme val="minor"/>
      </rPr>
      <t>Mobile/Paper Coupon</t>
    </r>
    <r>
      <rPr>
        <sz val="10"/>
        <color theme="1"/>
        <rFont val="Calibri"/>
        <family val="2"/>
        <scheme val="minor"/>
      </rPr>
      <t xml:space="preserve"> - $1.00 off a pack, on a $0.75 off a pack value-added product (VAP)</t>
    </r>
  </si>
  <si>
    <t>UPDATED 1/29/2025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</si>
</sst>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53" x14ac:knownFonts="1">
    <font>
      <sz val="11"/>
      <color theme="1"/>
      <name val="Calibri"/>
      <family val="2"/>
      <scheme val="minor"/>
    </font>
    <font>
      <sz val="10"/>
      <color theme="1"/>
      <name val="Calibri"/>
      <family val="2"/>
      <scheme val="minor"/>
    </font>
    <font>
      <b/>
      <sz val="10"/>
      <color theme="1"/>
      <name val="Calibri"/>
      <family val="2"/>
      <scheme val="minor"/>
    </font>
    <font>
      <sz val="10"/>
      <name val="Calibri"/>
      <family val="2"/>
      <scheme val="minor"/>
    </font>
    <font>
      <sz val="11"/>
      <color rgb="FF000000"/>
      <name val="Calibri"/>
      <family val="2"/>
      <scheme val="minor"/>
    </font>
    <font>
      <b/>
      <sz val="10"/>
      <color theme="0"/>
      <name val="Calibri"/>
      <family val="2"/>
      <scheme val="minor"/>
    </font>
    <font>
      <b/>
      <sz val="14"/>
      <color theme="0"/>
      <name val="Calibri"/>
      <family val="2"/>
      <scheme val="minor"/>
    </font>
    <font>
      <b/>
      <sz val="16"/>
      <color theme="1"/>
      <name val="Calibri"/>
      <family val="2"/>
      <scheme val="minor"/>
    </font>
    <font>
      <b/>
      <sz val="14"/>
      <color theme="1"/>
      <name val="Calibri"/>
      <family val="2"/>
      <scheme val="minor"/>
    </font>
    <font>
      <b/>
      <sz val="12"/>
      <color theme="1"/>
      <name val="Calibri"/>
      <family val="2"/>
      <scheme val="minor"/>
    </font>
    <font>
      <sz val="10"/>
      <color theme="1"/>
      <name val="Arial"/>
      <family val="2"/>
    </font>
    <font>
      <sz val="10"/>
      <color rgb="FF424649"/>
      <name val="Calibri"/>
      <family val="2"/>
      <scheme val="minor"/>
    </font>
    <font>
      <b/>
      <u/>
      <sz val="10"/>
      <color theme="1"/>
      <name val="Calibri"/>
      <family val="2"/>
      <scheme val="minor"/>
    </font>
    <font>
      <u/>
      <sz val="10"/>
      <color theme="1"/>
      <name val="Calibri"/>
      <family val="2"/>
      <scheme val="minor"/>
    </font>
    <font>
      <b/>
      <i/>
      <sz val="10"/>
      <color theme="1"/>
      <name val="Calibri"/>
      <family val="2"/>
      <scheme val="minor"/>
    </font>
    <font>
      <b/>
      <u/>
      <sz val="13"/>
      <color theme="1"/>
      <name val="Calibri"/>
      <family val="2"/>
      <scheme val="minor"/>
    </font>
    <font>
      <sz val="8"/>
      <name val="Calibri"/>
      <family val="2"/>
      <scheme val="minor"/>
    </font>
    <font>
      <b/>
      <sz val="10"/>
      <color theme="1"/>
      <name val="Calibri Light"/>
      <family val="2"/>
      <scheme val="major"/>
    </font>
    <font>
      <b/>
      <sz val="14"/>
      <color theme="1"/>
      <name val="Calibri Light"/>
      <family val="2"/>
      <scheme val="major"/>
    </font>
    <font>
      <sz val="10"/>
      <color theme="1"/>
      <name val="Calibri Light"/>
      <family val="2"/>
      <scheme val="major"/>
    </font>
    <font>
      <sz val="10"/>
      <color theme="1"/>
      <name val="Trebuchet MS"/>
      <family val="2"/>
    </font>
    <font>
      <sz val="11"/>
      <color theme="1"/>
      <name val="Calibri"/>
      <family val="2"/>
      <scheme val="minor"/>
    </font>
    <font>
      <sz val="11"/>
      <color rgb="FF9C0006"/>
      <name val="Calibri"/>
      <family val="2"/>
      <scheme val="minor"/>
    </font>
    <font>
      <sz val="11"/>
      <color rgb="FF9C5700"/>
      <name val="Calibri"/>
      <family val="2"/>
      <scheme val="minor"/>
    </font>
    <font>
      <b/>
      <sz val="22"/>
      <color theme="0"/>
      <name val="Calibri"/>
      <family val="2"/>
      <scheme val="minor"/>
    </font>
    <font>
      <sz val="11"/>
      <name val="Calibri Light"/>
      <family val="2"/>
      <scheme val="major"/>
    </font>
    <font>
      <sz val="10"/>
      <name val="Calibri Light"/>
      <family val="2"/>
      <scheme val="major"/>
    </font>
    <font>
      <b/>
      <sz val="12"/>
      <color theme="0"/>
      <name val="Calibri Light"/>
      <family val="2"/>
      <scheme val="major"/>
    </font>
    <font>
      <sz val="11"/>
      <color theme="1"/>
      <name val="Calibri Light"/>
      <family val="2"/>
      <scheme val="major"/>
    </font>
    <font>
      <i/>
      <sz val="12"/>
      <color theme="0"/>
      <name val="Calibri Light"/>
      <family val="2"/>
      <scheme val="major"/>
    </font>
    <font>
      <sz val="12"/>
      <color theme="0"/>
      <name val="Calibri Light"/>
      <family val="2"/>
      <scheme val="major"/>
    </font>
    <font>
      <b/>
      <sz val="11"/>
      <name val="Calibri Light"/>
      <family val="2"/>
      <scheme val="major"/>
    </font>
    <font>
      <sz val="9"/>
      <color theme="1"/>
      <name val="Calibri Light"/>
      <family val="2"/>
      <scheme val="major"/>
    </font>
    <font>
      <b/>
      <sz val="10"/>
      <color theme="0"/>
      <name val="Calibri Light"/>
      <family val="2"/>
      <scheme val="major"/>
    </font>
    <font>
      <b/>
      <sz val="10"/>
      <name val="Calibri Light"/>
      <family val="2"/>
      <scheme val="major"/>
    </font>
    <font>
      <b/>
      <sz val="12"/>
      <color theme="1"/>
      <name val="Calibri Light"/>
      <family val="2"/>
      <scheme val="major"/>
    </font>
    <font>
      <sz val="10"/>
      <color rgb="FFFF0000"/>
      <name val="Calibri Light"/>
      <family val="2"/>
      <scheme val="major"/>
    </font>
    <font>
      <b/>
      <sz val="14"/>
      <name val="Calibri Light"/>
      <family val="2"/>
      <scheme val="major"/>
    </font>
    <font>
      <b/>
      <sz val="14"/>
      <color theme="0"/>
      <name val="Calibri Light"/>
      <family val="2"/>
      <scheme val="major"/>
    </font>
    <font>
      <b/>
      <sz val="10"/>
      <color rgb="FF9C0006"/>
      <name val="Calibri Light"/>
      <family val="2"/>
      <scheme val="major"/>
    </font>
    <font>
      <sz val="10"/>
      <color rgb="FF9C0006"/>
      <name val="Calibri Light"/>
      <family val="2"/>
      <scheme val="major"/>
    </font>
    <font>
      <b/>
      <sz val="14"/>
      <color rgb="FF9C0006"/>
      <name val="Calibri Light"/>
      <family val="2"/>
      <scheme val="major"/>
    </font>
    <font>
      <b/>
      <sz val="11"/>
      <color rgb="FFFF0000"/>
      <name val="Calibri Light"/>
      <family val="2"/>
      <scheme val="major"/>
    </font>
    <font>
      <b/>
      <sz val="18"/>
      <color theme="1"/>
      <name val="Calibri Light"/>
      <family val="2"/>
      <scheme val="major"/>
    </font>
    <font>
      <sz val="12"/>
      <color theme="1"/>
      <name val="Calibri Light"/>
      <family val="2"/>
      <scheme val="major"/>
    </font>
    <font>
      <b/>
      <sz val="12"/>
      <name val="Calibri Light"/>
      <family val="2"/>
      <scheme val="major"/>
    </font>
    <font>
      <b/>
      <sz val="10"/>
      <color rgb="FF9C5700"/>
      <name val="Calibri Light"/>
      <family val="2"/>
      <scheme val="major"/>
    </font>
    <font>
      <sz val="10"/>
      <color rgb="FF9C5700"/>
      <name val="Calibri Light"/>
      <family val="2"/>
      <scheme val="major"/>
    </font>
    <font>
      <b/>
      <sz val="14"/>
      <color rgb="FF9C5700"/>
      <name val="Calibri Light"/>
      <family val="2"/>
      <scheme val="major"/>
    </font>
    <font>
      <b/>
      <sz val="12"/>
      <color theme="0"/>
      <name val="Trebuchet MS"/>
      <family val="2"/>
    </font>
    <font>
      <sz val="9"/>
      <color theme="1"/>
      <name val="Trebuchet MS"/>
      <family val="2"/>
    </font>
    <font>
      <b/>
      <sz val="10"/>
      <color theme="1"/>
      <name val="Trebuchet MS"/>
      <family val="2"/>
    </font>
    <font>
      <b/>
      <sz val="14"/>
      <color theme="1"/>
      <name val="Trebuchet MS"/>
      <family val="2"/>
    </font>
  </fonts>
  <fills count="25">
    <fill>
      <patternFill patternType="none"/>
    </fill>
    <fill>
      <patternFill patternType="gray125"/>
    </fill>
    <fill>
      <patternFill patternType="solid">
        <fgColor theme="2"/>
        <bgColor indexed="64"/>
      </patternFill>
    </fill>
    <fill>
      <patternFill patternType="solid">
        <fgColor theme="9" tint="0.79998168889431442"/>
        <bgColor indexed="64"/>
      </patternFill>
    </fill>
    <fill>
      <patternFill patternType="solid">
        <fgColor rgb="FFFF0000"/>
        <bgColor indexed="64"/>
      </patternFill>
    </fill>
    <fill>
      <patternFill patternType="solid">
        <fgColor theme="8"/>
        <bgColor indexed="64"/>
      </patternFill>
    </fill>
    <fill>
      <patternFill patternType="solid">
        <fgColor rgb="FF00B050"/>
        <bgColor indexed="64"/>
      </patternFill>
    </fill>
    <fill>
      <patternFill patternType="solid">
        <fgColor rgb="FFFFC000"/>
        <bgColor indexed="64"/>
      </patternFill>
    </fill>
    <fill>
      <patternFill patternType="solid">
        <fgColor theme="0"/>
        <bgColor indexed="64"/>
      </patternFill>
    </fill>
    <fill>
      <patternFill patternType="solid">
        <fgColor theme="7" tint="0.79998168889431442"/>
        <bgColor indexed="64"/>
      </patternFill>
    </fill>
    <fill>
      <patternFill patternType="solid">
        <fgColor rgb="FFFFFF00"/>
        <bgColor indexed="64"/>
      </patternFill>
    </fill>
    <fill>
      <patternFill patternType="solid">
        <fgColor rgb="FFFFC7CE"/>
      </patternFill>
    </fill>
    <fill>
      <patternFill patternType="solid">
        <fgColor rgb="FFFFEB9C"/>
      </patternFill>
    </fill>
    <fill>
      <patternFill patternType="solid">
        <fgColor rgb="FFC00000"/>
        <bgColor indexed="64"/>
      </patternFill>
    </fill>
    <fill>
      <patternFill patternType="solid">
        <fgColor rgb="FFFFCCFF"/>
        <bgColor indexed="64"/>
      </patternFill>
    </fill>
    <fill>
      <patternFill patternType="solid">
        <fgColor rgb="FF0E2B63"/>
        <bgColor indexed="64"/>
      </patternFill>
    </fill>
    <fill>
      <patternFill patternType="solid">
        <fgColor theme="6" tint="0.59999389629810485"/>
        <bgColor indexed="64"/>
      </patternFill>
    </fill>
    <fill>
      <patternFill patternType="solid">
        <fgColor theme="3" tint="0.399975585192419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9" tint="-0.249977111117893"/>
        <bgColor indexed="64"/>
      </patternFill>
    </fill>
    <fill>
      <patternFill patternType="solid">
        <fgColor theme="4" tint="0.79998168889431442"/>
        <bgColor indexed="64"/>
      </patternFill>
    </fill>
    <fill>
      <patternFill patternType="solid">
        <fgColor rgb="FF002060"/>
        <bgColor indexed="64"/>
      </patternFill>
    </fill>
    <fill>
      <patternFill patternType="solid">
        <fgColor theme="9" tint="0.59999389629810485"/>
        <bgColor indexed="64"/>
      </patternFill>
    </fill>
    <fill>
      <patternFill patternType="solid">
        <fgColor theme="7" tint="0.39997558519241921"/>
        <bgColor indexed="64"/>
      </patternFill>
    </fill>
  </fills>
  <borders count="9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hair">
        <color indexed="64"/>
      </bottom>
      <diagonal/>
    </border>
    <border>
      <left style="hair">
        <color indexed="64"/>
      </left>
      <right style="hair">
        <color indexed="64"/>
      </right>
      <top/>
      <bottom style="hair">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hair">
        <color indexed="64"/>
      </left>
      <right style="hair">
        <color indexed="64"/>
      </right>
      <top style="hair">
        <color indexed="64"/>
      </top>
      <bottom/>
      <diagonal/>
    </border>
    <border>
      <left/>
      <right style="hair">
        <color indexed="64"/>
      </right>
      <top/>
      <bottom style="hair">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thin">
        <color indexed="64"/>
      </right>
      <top/>
      <bottom/>
      <diagonal/>
    </border>
    <border>
      <left style="hair">
        <color indexed="64"/>
      </left>
      <right style="medium">
        <color indexed="64"/>
      </right>
      <top style="hair">
        <color indexed="64"/>
      </top>
      <bottom style="hair">
        <color indexed="64"/>
      </bottom>
      <diagonal/>
    </border>
    <border>
      <left style="medium">
        <color indexed="64"/>
      </left>
      <right style="thin">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right style="hair">
        <color indexed="64"/>
      </right>
      <top style="hair">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hair">
        <color indexed="64"/>
      </right>
      <top style="medium">
        <color indexed="64"/>
      </top>
      <bottom style="hair">
        <color indexed="64"/>
      </bottom>
      <diagonal/>
    </border>
    <border>
      <left style="medium">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thin">
        <color indexed="64"/>
      </left>
      <right style="medium">
        <color indexed="64"/>
      </right>
      <top style="medium">
        <color indexed="64"/>
      </top>
      <bottom/>
      <diagonal/>
    </border>
    <border>
      <left style="hair">
        <color indexed="64"/>
      </left>
      <right style="medium">
        <color indexed="64"/>
      </right>
      <top style="hair">
        <color indexed="64"/>
      </top>
      <bottom/>
      <diagonal/>
    </border>
    <border>
      <left/>
      <right/>
      <top style="medium">
        <color indexed="64"/>
      </top>
      <bottom/>
      <diagonal/>
    </border>
    <border>
      <left style="medium">
        <color indexed="64"/>
      </left>
      <right style="hair">
        <color indexed="64"/>
      </right>
      <top style="medium">
        <color indexed="64"/>
      </top>
      <bottom style="thin">
        <color indexed="64"/>
      </bottom>
      <diagonal/>
    </border>
    <border>
      <left/>
      <right style="hair">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hair">
        <color indexed="64"/>
      </right>
      <top style="hair">
        <color indexed="64"/>
      </top>
      <bottom style="thin">
        <color indexed="64"/>
      </bottom>
      <diagonal/>
    </border>
    <border>
      <left/>
      <right style="medium">
        <color indexed="64"/>
      </right>
      <top style="hair">
        <color indexed="64"/>
      </top>
      <bottom style="thin">
        <color indexed="64"/>
      </bottom>
      <diagonal/>
    </border>
    <border>
      <left/>
      <right style="medium">
        <color indexed="64"/>
      </right>
      <top style="hair">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diagonal/>
    </border>
    <border>
      <left/>
      <right style="thin">
        <color indexed="64"/>
      </right>
      <top style="medium">
        <color indexed="64"/>
      </top>
      <bottom style="medium">
        <color indexed="64"/>
      </bottom>
      <diagonal/>
    </border>
    <border>
      <left style="thin">
        <color indexed="64"/>
      </left>
      <right style="thin">
        <color indexed="64"/>
      </right>
      <top/>
      <bottom style="medium">
        <color indexed="64"/>
      </bottom>
      <diagonal/>
    </border>
    <border>
      <left style="hair">
        <color indexed="64"/>
      </left>
      <right/>
      <top style="medium">
        <color indexed="64"/>
      </top>
      <bottom style="hair">
        <color indexed="64"/>
      </bottom>
      <diagonal/>
    </border>
    <border>
      <left style="hair">
        <color indexed="64"/>
      </left>
      <right/>
      <top style="hair">
        <color indexed="64"/>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
      <left style="medium">
        <color indexed="64"/>
      </left>
      <right/>
      <top style="medium">
        <color indexed="64"/>
      </top>
      <bottom style="hair">
        <color indexed="64"/>
      </bottom>
      <diagonal/>
    </border>
    <border>
      <left style="medium">
        <color indexed="64"/>
      </left>
      <right/>
      <top style="hair">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style="thin">
        <color indexed="64"/>
      </bottom>
      <diagonal/>
    </border>
    <border>
      <left/>
      <right/>
      <top style="medium">
        <color indexed="64"/>
      </top>
      <bottom style="thin">
        <color indexed="64"/>
      </bottom>
      <diagonal/>
    </border>
    <border>
      <left style="medium">
        <color indexed="64"/>
      </left>
      <right/>
      <top style="hair">
        <color indexed="64"/>
      </top>
      <bottom style="hair">
        <color indexed="64"/>
      </bottom>
      <diagonal/>
    </border>
    <border>
      <left style="medium">
        <color indexed="64"/>
      </left>
      <right/>
      <top style="hair">
        <color indexed="64"/>
      </top>
      <bottom/>
      <diagonal/>
    </border>
    <border>
      <left style="medium">
        <color indexed="64"/>
      </left>
      <right/>
      <top/>
      <bottom style="hair">
        <color indexed="64"/>
      </bottom>
      <diagonal/>
    </border>
    <border>
      <left style="medium">
        <color indexed="64"/>
      </left>
      <right style="hair">
        <color indexed="64"/>
      </right>
      <top style="hair">
        <color indexed="64"/>
      </top>
      <bottom/>
      <diagonal/>
    </border>
    <border>
      <left style="medium">
        <color indexed="64"/>
      </left>
      <right/>
      <top style="thin">
        <color indexed="64"/>
      </top>
      <bottom style="medium">
        <color indexed="64"/>
      </bottom>
      <diagonal/>
    </border>
    <border>
      <left style="medium">
        <color indexed="64"/>
      </left>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s>
  <cellStyleXfs count="5">
    <xf numFmtId="0" fontId="0" fillId="0" borderId="0"/>
    <xf numFmtId="0" fontId="10" fillId="0" borderId="0"/>
    <xf numFmtId="44" fontId="21" fillId="0" borderId="0" applyFont="0" applyFill="0" applyBorder="0" applyAlignment="0" applyProtection="0"/>
    <xf numFmtId="0" fontId="22" fillId="11" borderId="0" applyNumberFormat="0" applyBorder="0" applyAlignment="0" applyProtection="0"/>
    <xf numFmtId="0" fontId="23" fillId="12" borderId="0" applyNumberFormat="0" applyBorder="0" applyAlignment="0" applyProtection="0"/>
  </cellStyleXfs>
  <cellXfs count="747">
    <xf numFmtId="0" fontId="0" fillId="0" borderId="0" xfId="0"/>
    <xf numFmtId="0" fontId="1" fillId="0" borderId="0" xfId="0" applyFont="1" applyAlignment="1">
      <alignment wrapText="1"/>
    </xf>
    <xf numFmtId="0" fontId="1" fillId="0" borderId="0" xfId="0" applyFont="1"/>
    <xf numFmtId="0" fontId="1" fillId="0" borderId="0" xfId="0" applyFont="1" applyFill="1"/>
    <xf numFmtId="0" fontId="1" fillId="0" borderId="0" xfId="0" applyFont="1" applyBorder="1"/>
    <xf numFmtId="0" fontId="1" fillId="0" borderId="0" xfId="0" applyFont="1" applyFill="1" applyBorder="1" applyAlignment="1">
      <alignment wrapText="1"/>
    </xf>
    <xf numFmtId="0" fontId="1" fillId="0" borderId="0" xfId="0" applyFont="1" applyBorder="1" applyAlignment="1"/>
    <xf numFmtId="0" fontId="0" fillId="0" borderId="0" xfId="0" applyFill="1"/>
    <xf numFmtId="0" fontId="0" fillId="0" borderId="0" xfId="0" applyBorder="1"/>
    <xf numFmtId="0" fontId="4" fillId="0" borderId="0" xfId="0" applyFont="1"/>
    <xf numFmtId="0" fontId="1" fillId="0" borderId="0" xfId="0" applyFont="1" applyBorder="1"/>
    <xf numFmtId="0" fontId="1" fillId="0" borderId="0" xfId="0" applyFont="1" applyFill="1" applyBorder="1"/>
    <xf numFmtId="0" fontId="1" fillId="0" borderId="0" xfId="0" applyFont="1" applyBorder="1" applyAlignment="1">
      <alignment horizontal="center"/>
    </xf>
    <xf numFmtId="0" fontId="1" fillId="0" borderId="0" xfId="0" applyFont="1" applyFill="1" applyBorder="1" applyAlignment="1">
      <alignment horizontal="center"/>
    </xf>
    <xf numFmtId="0" fontId="1" fillId="0" borderId="10" xfId="0" applyFont="1" applyBorder="1"/>
    <xf numFmtId="0" fontId="1" fillId="0" borderId="12" xfId="0" applyFont="1" applyBorder="1"/>
    <xf numFmtId="0" fontId="1" fillId="0" borderId="0" xfId="0" applyFont="1" applyAlignment="1">
      <alignment vertical="center"/>
    </xf>
    <xf numFmtId="0" fontId="1" fillId="0" borderId="11" xfId="0" applyFont="1" applyBorder="1"/>
    <xf numFmtId="0" fontId="1" fillId="2" borderId="10" xfId="0" applyFont="1" applyFill="1" applyBorder="1"/>
    <xf numFmtId="0" fontId="1" fillId="0" borderId="10" xfId="0" applyFont="1" applyFill="1" applyBorder="1" applyAlignment="1">
      <alignment horizontal="center"/>
    </xf>
    <xf numFmtId="0" fontId="1" fillId="0" borderId="10" xfId="0" applyFont="1" applyBorder="1" applyAlignment="1"/>
    <xf numFmtId="0" fontId="1" fillId="2" borderId="11" xfId="0" applyFont="1" applyFill="1" applyBorder="1"/>
    <xf numFmtId="0" fontId="3" fillId="2" borderId="10" xfId="0" applyFont="1" applyFill="1" applyBorder="1"/>
    <xf numFmtId="0" fontId="0" fillId="0" borderId="0" xfId="0" applyFill="1" applyBorder="1"/>
    <xf numFmtId="0" fontId="1" fillId="0" borderId="11" xfId="0" applyFont="1" applyBorder="1" applyAlignment="1"/>
    <xf numFmtId="0" fontId="1" fillId="3" borderId="10" xfId="0" applyFont="1" applyFill="1" applyBorder="1" applyAlignment="1">
      <alignment horizontal="center"/>
    </xf>
    <xf numFmtId="2" fontId="1" fillId="0" borderId="10" xfId="0" applyNumberFormat="1" applyFont="1" applyBorder="1" applyAlignment="1">
      <alignment horizontal="center"/>
    </xf>
    <xf numFmtId="2" fontId="1" fillId="0" borderId="10" xfId="0" applyNumberFormat="1" applyFont="1" applyFill="1" applyBorder="1" applyAlignment="1">
      <alignment horizontal="center"/>
    </xf>
    <xf numFmtId="2" fontId="1" fillId="3" borderId="10" xfId="0" applyNumberFormat="1" applyFont="1" applyFill="1" applyBorder="1" applyAlignment="1">
      <alignment horizontal="center"/>
    </xf>
    <xf numFmtId="0" fontId="1" fillId="2" borderId="10" xfId="0" applyFont="1" applyFill="1" applyBorder="1" applyAlignment="1">
      <alignment horizontal="center"/>
    </xf>
    <xf numFmtId="2" fontId="1" fillId="2" borderId="10" xfId="0" applyNumberFormat="1" applyFont="1" applyFill="1" applyBorder="1" applyAlignment="1">
      <alignment horizontal="center"/>
    </xf>
    <xf numFmtId="0" fontId="0" fillId="0" borderId="0" xfId="0" applyAlignment="1">
      <alignment horizontal="center"/>
    </xf>
    <xf numFmtId="0" fontId="1" fillId="3" borderId="10" xfId="0" applyFont="1" applyFill="1" applyBorder="1" applyAlignment="1">
      <alignment horizontal="center" vertical="center"/>
    </xf>
    <xf numFmtId="2" fontId="1" fillId="0" borderId="10" xfId="0" applyNumberFormat="1" applyFont="1" applyBorder="1" applyAlignment="1">
      <alignment horizontal="center" vertical="center"/>
    </xf>
    <xf numFmtId="2" fontId="1" fillId="3" borderId="10" xfId="0" applyNumberFormat="1" applyFont="1" applyFill="1" applyBorder="1" applyAlignment="1">
      <alignment horizontal="center" vertical="center"/>
    </xf>
    <xf numFmtId="2" fontId="1" fillId="0" borderId="10" xfId="0" applyNumberFormat="1" applyFont="1" applyFill="1" applyBorder="1" applyAlignment="1">
      <alignment horizontal="center" vertical="center"/>
    </xf>
    <xf numFmtId="0" fontId="1" fillId="0" borderId="0" xfId="0" applyFont="1" applyAlignment="1">
      <alignment horizontal="center"/>
    </xf>
    <xf numFmtId="0" fontId="1" fillId="0" borderId="0" xfId="0" applyFont="1" applyFill="1" applyAlignment="1">
      <alignment horizontal="center"/>
    </xf>
    <xf numFmtId="2" fontId="1" fillId="0" borderId="0" xfId="0" applyNumberFormat="1" applyFont="1" applyAlignment="1">
      <alignment horizontal="center"/>
    </xf>
    <xf numFmtId="2" fontId="1" fillId="0" borderId="0" xfId="0" applyNumberFormat="1" applyFont="1" applyFill="1" applyAlignment="1">
      <alignment horizontal="center"/>
    </xf>
    <xf numFmtId="1" fontId="1" fillId="0" borderId="0" xfId="0" applyNumberFormat="1" applyFont="1" applyBorder="1" applyAlignment="1">
      <alignment horizontal="center"/>
    </xf>
    <xf numFmtId="1" fontId="1" fillId="0" borderId="10" xfId="0" applyNumberFormat="1" applyFont="1" applyBorder="1" applyAlignment="1">
      <alignment horizontal="center" vertical="center"/>
    </xf>
    <xf numFmtId="1" fontId="1" fillId="0" borderId="10" xfId="0" applyNumberFormat="1" applyFont="1" applyFill="1" applyBorder="1" applyAlignment="1">
      <alignment horizontal="center" vertical="center"/>
    </xf>
    <xf numFmtId="1" fontId="1" fillId="0" borderId="0" xfId="0" applyNumberFormat="1" applyFont="1" applyAlignment="1">
      <alignment horizontal="center"/>
    </xf>
    <xf numFmtId="0" fontId="1" fillId="7" borderId="10" xfId="0" applyFont="1" applyFill="1" applyBorder="1" applyAlignment="1">
      <alignment horizontal="center"/>
    </xf>
    <xf numFmtId="0" fontId="3" fillId="2" borderId="10" xfId="0" applyFont="1" applyFill="1" applyBorder="1" applyAlignment="1">
      <alignment horizontal="center"/>
    </xf>
    <xf numFmtId="0" fontId="1" fillId="0" borderId="10" xfId="0" applyFont="1" applyBorder="1" applyAlignment="1">
      <alignment horizontal="left"/>
    </xf>
    <xf numFmtId="0" fontId="1" fillId="3" borderId="10" xfId="0" applyFont="1" applyFill="1" applyBorder="1" applyAlignment="1">
      <alignment horizontal="left"/>
    </xf>
    <xf numFmtId="0" fontId="3" fillId="2" borderId="10" xfId="0" applyFont="1" applyFill="1" applyBorder="1" applyAlignment="1">
      <alignment horizontal="left"/>
    </xf>
    <xf numFmtId="0" fontId="1" fillId="2" borderId="10" xfId="0" applyFont="1" applyFill="1" applyBorder="1" applyAlignment="1">
      <alignment horizontal="left"/>
    </xf>
    <xf numFmtId="0" fontId="1" fillId="0" borderId="0" xfId="0" applyFont="1" applyAlignment="1">
      <alignment horizontal="left"/>
    </xf>
    <xf numFmtId="0" fontId="7" fillId="0" borderId="0" xfId="0" applyFont="1" applyAlignment="1">
      <alignment horizontal="center"/>
    </xf>
    <xf numFmtId="0" fontId="7" fillId="0" borderId="0" xfId="0" applyFont="1" applyFill="1" applyBorder="1" applyAlignment="1">
      <alignment horizontal="center" wrapText="1"/>
    </xf>
    <xf numFmtId="0" fontId="8" fillId="0" borderId="0" xfId="0" applyFont="1" applyAlignment="1">
      <alignment horizontal="center" vertical="center"/>
    </xf>
    <xf numFmtId="0" fontId="2" fillId="0" borderId="0" xfId="0" applyFont="1" applyAlignment="1">
      <alignment vertical="center"/>
    </xf>
    <xf numFmtId="0" fontId="9" fillId="0" borderId="9" xfId="0" applyFont="1" applyBorder="1" applyAlignment="1">
      <alignment horizontal="center" vertical="center"/>
    </xf>
    <xf numFmtId="0" fontId="8" fillId="0" borderId="9" xfId="0" applyFont="1" applyBorder="1" applyAlignment="1">
      <alignment vertical="center"/>
    </xf>
    <xf numFmtId="0" fontId="9" fillId="0" borderId="9" xfId="0" applyFont="1" applyBorder="1" applyAlignment="1">
      <alignment horizontal="right" vertical="center"/>
    </xf>
    <xf numFmtId="0" fontId="1" fillId="8" borderId="0" xfId="0" applyFont="1" applyFill="1" applyBorder="1" applyAlignment="1">
      <alignment horizontal="center"/>
    </xf>
    <xf numFmtId="0" fontId="1" fillId="9" borderId="10" xfId="0" applyFont="1" applyFill="1" applyBorder="1" applyAlignment="1">
      <alignment horizontal="center"/>
    </xf>
    <xf numFmtId="2" fontId="1" fillId="3" borderId="13" xfId="0" applyNumberFormat="1" applyFont="1" applyFill="1" applyBorder="1" applyAlignment="1">
      <alignment horizontal="center"/>
    </xf>
    <xf numFmtId="0" fontId="7" fillId="8" borderId="0" xfId="0" applyFont="1" applyFill="1" applyBorder="1" applyAlignment="1">
      <alignment horizontal="center"/>
    </xf>
    <xf numFmtId="0" fontId="8" fillId="0" borderId="0" xfId="0" applyFont="1" applyBorder="1" applyAlignment="1">
      <alignment horizontal="center" vertical="center"/>
    </xf>
    <xf numFmtId="0" fontId="1" fillId="8" borderId="0" xfId="0" applyFont="1" applyFill="1"/>
    <xf numFmtId="0" fontId="2" fillId="10" borderId="26" xfId="0" applyFont="1" applyFill="1" applyBorder="1" applyAlignment="1">
      <alignment horizontal="center" vertical="center"/>
    </xf>
    <xf numFmtId="0" fontId="2" fillId="10" borderId="27" xfId="0" applyFont="1" applyFill="1" applyBorder="1" applyAlignment="1">
      <alignment horizontal="center" vertical="center"/>
    </xf>
    <xf numFmtId="0" fontId="15" fillId="0" borderId="0" xfId="0" applyFont="1"/>
    <xf numFmtId="0" fontId="12" fillId="8" borderId="0" xfId="0" applyFont="1" applyFill="1" applyBorder="1" applyAlignment="1">
      <alignment horizontal="center" vertical="center" wrapText="1"/>
    </xf>
    <xf numFmtId="1" fontId="1" fillId="8" borderId="0" xfId="0" applyNumberFormat="1" applyFont="1" applyFill="1" applyBorder="1" applyAlignment="1">
      <alignment horizontal="center"/>
    </xf>
    <xf numFmtId="0" fontId="14" fillId="0" borderId="9" xfId="0" applyFont="1" applyFill="1" applyBorder="1" applyAlignment="1">
      <alignment wrapText="1"/>
    </xf>
    <xf numFmtId="0" fontId="1" fillId="0" borderId="10" xfId="0" applyFont="1" applyBorder="1" applyAlignment="1">
      <alignment horizontal="center"/>
    </xf>
    <xf numFmtId="0" fontId="1" fillId="0" borderId="10" xfId="0" applyFont="1" applyBorder="1" applyAlignment="1">
      <alignment horizontal="center"/>
    </xf>
    <xf numFmtId="0" fontId="1" fillId="2" borderId="29" xfId="0" applyFont="1" applyFill="1" applyBorder="1"/>
    <xf numFmtId="0" fontId="1" fillId="2" borderId="29" xfId="0" applyFont="1" applyFill="1" applyBorder="1" applyAlignment="1">
      <alignment horizontal="center"/>
    </xf>
    <xf numFmtId="2" fontId="1" fillId="2" borderId="29" xfId="0" applyNumberFormat="1" applyFont="1" applyFill="1" applyBorder="1" applyAlignment="1">
      <alignment horizontal="center"/>
    </xf>
    <xf numFmtId="0" fontId="1" fillId="2" borderId="30" xfId="0" applyFont="1" applyFill="1" applyBorder="1" applyAlignment="1">
      <alignment horizontal="center"/>
    </xf>
    <xf numFmtId="0" fontId="1" fillId="2" borderId="32" xfId="0" applyFont="1" applyFill="1" applyBorder="1" applyAlignment="1">
      <alignment horizontal="center"/>
    </xf>
    <xf numFmtId="0" fontId="1" fillId="0" borderId="34" xfId="0" applyFont="1" applyFill="1" applyBorder="1"/>
    <xf numFmtId="0" fontId="1" fillId="0" borderId="34" xfId="0" applyFont="1" applyFill="1" applyBorder="1" applyAlignment="1">
      <alignment horizontal="center"/>
    </xf>
    <xf numFmtId="2" fontId="1" fillId="3" borderId="34" xfId="0" applyNumberFormat="1" applyFont="1" applyFill="1" applyBorder="1" applyAlignment="1">
      <alignment horizontal="center"/>
    </xf>
    <xf numFmtId="0" fontId="1" fillId="7" borderId="34" xfId="0" applyFont="1" applyFill="1" applyBorder="1" applyAlignment="1">
      <alignment horizontal="center"/>
    </xf>
    <xf numFmtId="0" fontId="1" fillId="3" borderId="34" xfId="0" applyFont="1" applyFill="1" applyBorder="1" applyAlignment="1">
      <alignment horizontal="center"/>
    </xf>
    <xf numFmtId="2" fontId="1" fillId="0" borderId="34" xfId="0" applyNumberFormat="1" applyFont="1" applyFill="1" applyBorder="1" applyAlignment="1">
      <alignment horizontal="center"/>
    </xf>
    <xf numFmtId="0" fontId="1" fillId="9" borderId="34" xfId="0" applyFont="1" applyFill="1" applyBorder="1" applyAlignment="1">
      <alignment horizontal="center"/>
    </xf>
    <xf numFmtId="0" fontId="1" fillId="0" borderId="35" xfId="0" applyFont="1" applyFill="1" applyBorder="1" applyAlignment="1">
      <alignment horizontal="center"/>
    </xf>
    <xf numFmtId="0" fontId="5" fillId="5" borderId="6" xfId="0" applyFont="1" applyFill="1" applyBorder="1" applyAlignment="1">
      <alignment horizontal="center" vertical="center" textRotation="90" wrapText="1"/>
    </xf>
    <xf numFmtId="2" fontId="5" fillId="5" borderId="6" xfId="0" applyNumberFormat="1" applyFont="1" applyFill="1" applyBorder="1" applyAlignment="1">
      <alignment horizontal="center" vertical="center" textRotation="90" wrapText="1"/>
    </xf>
    <xf numFmtId="0" fontId="1" fillId="0" borderId="36" xfId="0" applyFont="1" applyBorder="1" applyAlignment="1">
      <alignment horizontal="center"/>
    </xf>
    <xf numFmtId="0" fontId="1" fillId="0" borderId="34" xfId="0" applyFont="1" applyBorder="1" applyAlignment="1">
      <alignment horizontal="center"/>
    </xf>
    <xf numFmtId="2" fontId="1" fillId="0" borderId="34" xfId="0" applyNumberFormat="1" applyFont="1" applyBorder="1" applyAlignment="1">
      <alignment horizontal="center"/>
    </xf>
    <xf numFmtId="0" fontId="1" fillId="0" borderId="35" xfId="0" applyFont="1" applyBorder="1" applyAlignment="1">
      <alignment horizontal="center"/>
    </xf>
    <xf numFmtId="0" fontId="1" fillId="0" borderId="34" xfId="0" applyFont="1" applyBorder="1"/>
    <xf numFmtId="0" fontId="1" fillId="2" borderId="39" xfId="0" applyFont="1" applyFill="1" applyBorder="1"/>
    <xf numFmtId="0" fontId="1" fillId="0" borderId="32" xfId="0" applyFont="1" applyFill="1" applyBorder="1" applyAlignment="1">
      <alignment horizontal="center"/>
    </xf>
    <xf numFmtId="0" fontId="11" fillId="7" borderId="34" xfId="0" applyFont="1" applyFill="1" applyBorder="1"/>
    <xf numFmtId="0" fontId="1" fillId="7" borderId="34" xfId="0" applyFont="1" applyFill="1" applyBorder="1"/>
    <xf numFmtId="2" fontId="1" fillId="7" borderId="34" xfId="0" applyNumberFormat="1" applyFont="1" applyFill="1" applyBorder="1" applyAlignment="1">
      <alignment horizontal="center"/>
    </xf>
    <xf numFmtId="0" fontId="1" fillId="7" borderId="36" xfId="0" applyFont="1" applyFill="1" applyBorder="1"/>
    <xf numFmtId="0" fontId="1" fillId="2" borderId="40" xfId="0" applyFont="1" applyFill="1" applyBorder="1"/>
    <xf numFmtId="0" fontId="1" fillId="2" borderId="41" xfId="0" applyFont="1" applyFill="1" applyBorder="1"/>
    <xf numFmtId="0" fontId="1" fillId="2" borderId="34" xfId="0" applyFont="1" applyFill="1" applyBorder="1"/>
    <xf numFmtId="0" fontId="1" fillId="2" borderId="34" xfId="0" applyFont="1" applyFill="1" applyBorder="1" applyAlignment="1">
      <alignment horizontal="center"/>
    </xf>
    <xf numFmtId="2" fontId="1" fillId="2" borderId="34" xfId="0" applyNumberFormat="1" applyFont="1" applyFill="1" applyBorder="1" applyAlignment="1">
      <alignment horizontal="center"/>
    </xf>
    <xf numFmtId="0" fontId="1" fillId="2" borderId="35" xfId="0" applyFont="1" applyFill="1" applyBorder="1" applyAlignment="1">
      <alignment horizontal="center"/>
    </xf>
    <xf numFmtId="0" fontId="1" fillId="6" borderId="17" xfId="0" applyFont="1" applyFill="1" applyBorder="1" applyAlignment="1">
      <alignment horizontal="center"/>
    </xf>
    <xf numFmtId="2" fontId="1" fillId="6" borderId="17" xfId="0" applyNumberFormat="1" applyFont="1" applyFill="1" applyBorder="1" applyAlignment="1">
      <alignment horizontal="center"/>
    </xf>
    <xf numFmtId="0" fontId="1" fillId="6" borderId="18" xfId="0" applyFont="1" applyFill="1" applyBorder="1" applyAlignment="1">
      <alignment horizontal="center"/>
    </xf>
    <xf numFmtId="0" fontId="1" fillId="6" borderId="16" xfId="0" applyFont="1" applyFill="1" applyBorder="1"/>
    <xf numFmtId="0" fontId="1" fillId="6" borderId="17" xfId="0" applyFont="1" applyFill="1" applyBorder="1"/>
    <xf numFmtId="0" fontId="1" fillId="0" borderId="29" xfId="0" applyFont="1" applyBorder="1"/>
    <xf numFmtId="0" fontId="1" fillId="0" borderId="29" xfId="0" applyFont="1" applyBorder="1" applyAlignment="1">
      <alignment horizontal="center"/>
    </xf>
    <xf numFmtId="0" fontId="1" fillId="0" borderId="29" xfId="0" applyFont="1" applyFill="1" applyBorder="1" applyAlignment="1">
      <alignment horizontal="center"/>
    </xf>
    <xf numFmtId="2" fontId="1" fillId="0" borderId="29" xfId="0" applyNumberFormat="1" applyFont="1" applyBorder="1" applyAlignment="1">
      <alignment horizontal="center"/>
    </xf>
    <xf numFmtId="0" fontId="1" fillId="0" borderId="29" xfId="0" applyFont="1" applyBorder="1" applyAlignment="1">
      <alignment horizontal="left"/>
    </xf>
    <xf numFmtId="2" fontId="1" fillId="0" borderId="29" xfId="0" applyNumberFormat="1" applyFont="1" applyFill="1" applyBorder="1" applyAlignment="1">
      <alignment horizontal="center"/>
    </xf>
    <xf numFmtId="0" fontId="1" fillId="0" borderId="30" xfId="0" applyFont="1" applyBorder="1" applyAlignment="1">
      <alignment horizontal="center"/>
    </xf>
    <xf numFmtId="0" fontId="1" fillId="0" borderId="36" xfId="0" applyFont="1" applyBorder="1"/>
    <xf numFmtId="0" fontId="1" fillId="0" borderId="34" xfId="0" applyFont="1" applyBorder="1" applyAlignment="1">
      <alignment horizontal="left"/>
    </xf>
    <xf numFmtId="0" fontId="3" fillId="2" borderId="29" xfId="0" applyFont="1" applyFill="1" applyBorder="1" applyAlignment="1">
      <alignment horizontal="center"/>
    </xf>
    <xf numFmtId="0" fontId="3" fillId="2" borderId="29" xfId="0" applyFont="1" applyFill="1" applyBorder="1" applyAlignment="1">
      <alignment horizontal="left"/>
    </xf>
    <xf numFmtId="0" fontId="1" fillId="3" borderId="34" xfId="0" applyFont="1" applyFill="1" applyBorder="1" applyAlignment="1">
      <alignment horizontal="left"/>
    </xf>
    <xf numFmtId="0" fontId="1" fillId="2" borderId="29" xfId="0" applyFont="1" applyFill="1" applyBorder="1" applyAlignment="1">
      <alignment horizontal="left"/>
    </xf>
    <xf numFmtId="0" fontId="1" fillId="0" borderId="42" xfId="0" applyFont="1" applyBorder="1"/>
    <xf numFmtId="0" fontId="1" fillId="0" borderId="41" xfId="0" applyFont="1" applyBorder="1"/>
    <xf numFmtId="0" fontId="1" fillId="0" borderId="34" xfId="0" applyFont="1" applyBorder="1" applyAlignment="1"/>
    <xf numFmtId="0" fontId="1" fillId="2" borderId="40" xfId="0" applyFont="1" applyFill="1" applyBorder="1" applyAlignment="1">
      <alignment horizontal="center" vertical="center"/>
    </xf>
    <xf numFmtId="0" fontId="1" fillId="2" borderId="29" xfId="0" applyFont="1" applyFill="1" applyBorder="1" applyAlignment="1">
      <alignment horizontal="center" vertical="center"/>
    </xf>
    <xf numFmtId="2" fontId="1" fillId="2" borderId="29" xfId="0" applyNumberFormat="1" applyFont="1" applyFill="1" applyBorder="1" applyAlignment="1">
      <alignment horizontal="center" vertical="center"/>
    </xf>
    <xf numFmtId="1" fontId="1" fillId="2" borderId="29" xfId="0" applyNumberFormat="1" applyFont="1" applyFill="1" applyBorder="1" applyAlignment="1">
      <alignment horizontal="center" vertical="center"/>
    </xf>
    <xf numFmtId="0" fontId="1" fillId="2" borderId="30" xfId="0" applyFont="1" applyFill="1" applyBorder="1" applyAlignment="1">
      <alignment horizontal="center" vertical="center"/>
    </xf>
    <xf numFmtId="0" fontId="1" fillId="0" borderId="42" xfId="0" applyFont="1" applyBorder="1" applyAlignment="1">
      <alignment horizontal="center" vertical="center"/>
    </xf>
    <xf numFmtId="0" fontId="1" fillId="0" borderId="34" xfId="0" applyFont="1" applyBorder="1" applyAlignment="1">
      <alignment horizontal="center" vertical="center"/>
    </xf>
    <xf numFmtId="2" fontId="1" fillId="3" borderId="34" xfId="0" applyNumberFormat="1" applyFont="1" applyFill="1" applyBorder="1" applyAlignment="1">
      <alignment horizontal="center" vertical="center"/>
    </xf>
    <xf numFmtId="1" fontId="1" fillId="0" borderId="34" xfId="0" applyNumberFormat="1" applyFont="1" applyBorder="1" applyAlignment="1">
      <alignment horizontal="center" vertical="center"/>
    </xf>
    <xf numFmtId="0" fontId="1" fillId="0" borderId="34" xfId="0" applyFont="1" applyFill="1" applyBorder="1" applyAlignment="1">
      <alignment horizontal="center" vertical="center"/>
    </xf>
    <xf numFmtId="2" fontId="1" fillId="0" borderId="34" xfId="0" applyNumberFormat="1" applyFont="1" applyBorder="1" applyAlignment="1">
      <alignment horizontal="center" vertical="center"/>
    </xf>
    <xf numFmtId="2" fontId="1" fillId="0" borderId="34" xfId="0" applyNumberFormat="1" applyFont="1" applyFill="1" applyBorder="1" applyAlignment="1">
      <alignment horizontal="center" vertical="center"/>
    </xf>
    <xf numFmtId="0" fontId="1" fillId="3" borderId="34" xfId="0" applyFont="1" applyFill="1" applyBorder="1" applyAlignment="1">
      <alignment horizontal="center" vertical="center"/>
    </xf>
    <xf numFmtId="0" fontId="1" fillId="0" borderId="35" xfId="0" applyFont="1" applyFill="1" applyBorder="1" applyAlignment="1">
      <alignment horizontal="center" vertical="center"/>
    </xf>
    <xf numFmtId="0" fontId="1" fillId="2" borderId="40" xfId="0" applyFont="1" applyFill="1" applyBorder="1" applyAlignment="1">
      <alignment vertical="center"/>
    </xf>
    <xf numFmtId="0" fontId="1" fillId="2" borderId="29" xfId="0" applyFont="1" applyFill="1" applyBorder="1" applyAlignment="1">
      <alignment vertical="center"/>
    </xf>
    <xf numFmtId="0" fontId="1" fillId="2" borderId="29" xfId="0" applyFont="1" applyFill="1" applyBorder="1" applyAlignment="1">
      <alignment horizontal="left" vertical="center"/>
    </xf>
    <xf numFmtId="0" fontId="1" fillId="3" borderId="29" xfId="0" applyFont="1" applyFill="1" applyBorder="1" applyAlignment="1">
      <alignment horizontal="center" vertical="center"/>
    </xf>
    <xf numFmtId="2" fontId="1" fillId="3" borderId="29" xfId="0" applyNumberFormat="1" applyFont="1" applyFill="1" applyBorder="1" applyAlignment="1">
      <alignment horizontal="center" vertical="center"/>
    </xf>
    <xf numFmtId="0" fontId="1" fillId="0" borderId="42" xfId="0" applyFont="1" applyBorder="1" applyAlignment="1">
      <alignment vertical="center"/>
    </xf>
    <xf numFmtId="0" fontId="1" fillId="0" borderId="34" xfId="0" applyFont="1" applyBorder="1" applyAlignment="1">
      <alignment vertical="center"/>
    </xf>
    <xf numFmtId="0" fontId="1" fillId="3" borderId="34" xfId="0" applyFont="1" applyFill="1" applyBorder="1" applyAlignment="1">
      <alignment horizontal="left" vertical="center"/>
    </xf>
    <xf numFmtId="0" fontId="1" fillId="0" borderId="35" xfId="0" applyFont="1" applyBorder="1" applyAlignment="1">
      <alignment horizontal="center" vertical="center"/>
    </xf>
    <xf numFmtId="2" fontId="1" fillId="3" borderId="0" xfId="0" applyNumberFormat="1" applyFont="1" applyFill="1" applyBorder="1" applyAlignment="1">
      <alignment horizontal="center"/>
    </xf>
    <xf numFmtId="2" fontId="1" fillId="3" borderId="19" xfId="0" applyNumberFormat="1" applyFont="1" applyFill="1" applyBorder="1" applyAlignment="1">
      <alignment horizontal="center"/>
    </xf>
    <xf numFmtId="2" fontId="1" fillId="0" borderId="19" xfId="0" applyNumberFormat="1" applyFont="1" applyBorder="1" applyAlignment="1">
      <alignment horizontal="center"/>
    </xf>
    <xf numFmtId="2" fontId="1" fillId="0" borderId="13" xfId="0" applyNumberFormat="1" applyFont="1" applyBorder="1" applyAlignment="1">
      <alignment horizontal="center"/>
    </xf>
    <xf numFmtId="0" fontId="1" fillId="3" borderId="11" xfId="0" applyFont="1" applyFill="1" applyBorder="1" applyAlignment="1">
      <alignment horizontal="center"/>
    </xf>
    <xf numFmtId="0" fontId="1" fillId="0" borderId="45" xfId="0" applyFont="1" applyBorder="1" applyAlignment="1"/>
    <xf numFmtId="0" fontId="1" fillId="0" borderId="46" xfId="0" applyFont="1" applyBorder="1" applyAlignment="1"/>
    <xf numFmtId="0" fontId="1" fillId="0" borderId="45" xfId="0" applyFont="1" applyFill="1" applyBorder="1"/>
    <xf numFmtId="1" fontId="1" fillId="0" borderId="19" xfId="0" applyNumberFormat="1" applyFont="1" applyBorder="1" applyAlignment="1">
      <alignment horizontal="center"/>
    </xf>
    <xf numFmtId="1" fontId="1" fillId="3" borderId="19" xfId="0" applyNumberFormat="1" applyFont="1" applyFill="1" applyBorder="1" applyAlignment="1">
      <alignment horizontal="center"/>
    </xf>
    <xf numFmtId="1" fontId="1" fillId="3" borderId="34" xfId="0" applyNumberFormat="1" applyFont="1" applyFill="1" applyBorder="1" applyAlignment="1">
      <alignment horizontal="center"/>
    </xf>
    <xf numFmtId="0" fontId="1" fillId="0" borderId="54" xfId="0" applyFont="1" applyBorder="1"/>
    <xf numFmtId="0" fontId="1" fillId="2" borderId="51" xfId="0" applyFont="1" applyFill="1" applyBorder="1"/>
    <xf numFmtId="0" fontId="1" fillId="2" borderId="52" xfId="0" applyFont="1" applyFill="1" applyBorder="1"/>
    <xf numFmtId="0" fontId="1" fillId="2" borderId="54" xfId="0" applyFont="1" applyFill="1" applyBorder="1"/>
    <xf numFmtId="0" fontId="1" fillId="2" borderId="12" xfId="0" applyFont="1" applyFill="1" applyBorder="1"/>
    <xf numFmtId="0" fontId="1" fillId="0" borderId="12" xfId="0" applyFont="1" applyBorder="1" applyAlignment="1">
      <alignment horizontal="center"/>
    </xf>
    <xf numFmtId="0" fontId="1" fillId="2" borderId="52" xfId="0" applyFont="1" applyFill="1" applyBorder="1" applyAlignment="1">
      <alignment horizontal="center"/>
    </xf>
    <xf numFmtId="0" fontId="1" fillId="2" borderId="12" xfId="0" applyFont="1" applyFill="1" applyBorder="1" applyAlignment="1">
      <alignment horizontal="center"/>
    </xf>
    <xf numFmtId="2" fontId="1" fillId="2" borderId="52" xfId="0" applyNumberFormat="1" applyFont="1" applyFill="1" applyBorder="1" applyAlignment="1">
      <alignment horizontal="center"/>
    </xf>
    <xf numFmtId="0" fontId="1" fillId="2" borderId="53" xfId="0" applyFont="1" applyFill="1" applyBorder="1" applyAlignment="1">
      <alignment horizontal="center"/>
    </xf>
    <xf numFmtId="0" fontId="1" fillId="2" borderId="55" xfId="0" applyFont="1" applyFill="1" applyBorder="1" applyAlignment="1">
      <alignment horizontal="center"/>
    </xf>
    <xf numFmtId="0" fontId="1" fillId="0" borderId="55" xfId="0" applyFont="1" applyBorder="1" applyAlignment="1">
      <alignment horizontal="center"/>
    </xf>
    <xf numFmtId="0" fontId="1" fillId="0" borderId="56" xfId="0" applyFont="1" applyBorder="1" applyAlignment="1">
      <alignment horizontal="center"/>
    </xf>
    <xf numFmtId="2" fontId="1" fillId="3" borderId="12" xfId="0" applyNumberFormat="1" applyFont="1" applyFill="1" applyBorder="1" applyAlignment="1">
      <alignment horizontal="center"/>
    </xf>
    <xf numFmtId="2" fontId="1" fillId="3" borderId="36" xfId="0" applyNumberFormat="1" applyFont="1" applyFill="1" applyBorder="1" applyAlignment="1">
      <alignment horizontal="center"/>
    </xf>
    <xf numFmtId="0" fontId="1" fillId="7" borderId="36" xfId="0" applyFont="1" applyFill="1" applyBorder="1" applyAlignment="1">
      <alignment horizontal="center"/>
    </xf>
    <xf numFmtId="1" fontId="1" fillId="3" borderId="36" xfId="0" applyNumberFormat="1" applyFont="1" applyFill="1" applyBorder="1" applyAlignment="1">
      <alignment horizontal="center"/>
    </xf>
    <xf numFmtId="0" fontId="1" fillId="3" borderId="12" xfId="0" applyFont="1" applyFill="1" applyBorder="1" applyAlignment="1">
      <alignment horizontal="center"/>
    </xf>
    <xf numFmtId="0" fontId="1" fillId="3" borderId="36" xfId="0" applyFont="1" applyFill="1" applyBorder="1" applyAlignment="1">
      <alignment horizontal="center"/>
    </xf>
    <xf numFmtId="4" fontId="1" fillId="3" borderId="12" xfId="0" applyNumberFormat="1" applyFont="1" applyFill="1" applyBorder="1" applyAlignment="1">
      <alignment horizontal="center"/>
    </xf>
    <xf numFmtId="4" fontId="1" fillId="3" borderId="36" xfId="0" applyNumberFormat="1" applyFont="1" applyFill="1" applyBorder="1" applyAlignment="1">
      <alignment horizontal="center"/>
    </xf>
    <xf numFmtId="0" fontId="1" fillId="0" borderId="10" xfId="0" applyFont="1" applyFill="1" applyBorder="1" applyAlignment="1">
      <alignment horizontal="left"/>
    </xf>
    <xf numFmtId="0" fontId="1" fillId="7" borderId="34" xfId="0" applyFont="1" applyFill="1" applyBorder="1" applyAlignment="1">
      <alignment horizontal="left"/>
    </xf>
    <xf numFmtId="0" fontId="11" fillId="7" borderId="34" xfId="0" applyFont="1" applyFill="1" applyBorder="1" applyAlignment="1">
      <alignment horizontal="center"/>
    </xf>
    <xf numFmtId="1" fontId="1" fillId="2" borderId="29" xfId="0" applyNumberFormat="1" applyFont="1" applyFill="1" applyBorder="1" applyAlignment="1">
      <alignment horizontal="center"/>
    </xf>
    <xf numFmtId="1" fontId="1" fillId="2" borderId="10" xfId="0" applyNumberFormat="1" applyFont="1" applyFill="1" applyBorder="1" applyAlignment="1">
      <alignment horizontal="center"/>
    </xf>
    <xf numFmtId="1" fontId="1" fillId="7" borderId="34" xfId="0" applyNumberFormat="1" applyFont="1" applyFill="1" applyBorder="1" applyAlignment="1">
      <alignment horizontal="center"/>
    </xf>
    <xf numFmtId="49" fontId="1" fillId="0" borderId="19" xfId="0" applyNumberFormat="1" applyFont="1" applyFill="1" applyBorder="1" applyAlignment="1">
      <alignment horizontal="center" vertical="center"/>
    </xf>
    <xf numFmtId="0" fontId="11" fillId="7" borderId="34" xfId="0" applyFont="1" applyFill="1" applyBorder="1" applyAlignment="1">
      <alignment horizontal="center" vertical="center"/>
    </xf>
    <xf numFmtId="0" fontId="1" fillId="3" borderId="32" xfId="0" applyFont="1" applyFill="1" applyBorder="1" applyAlignment="1">
      <alignment horizontal="center" vertical="center"/>
    </xf>
    <xf numFmtId="0" fontId="1" fillId="3" borderId="35" xfId="0" applyFont="1" applyFill="1" applyBorder="1" applyAlignment="1">
      <alignment horizontal="center" vertical="center"/>
    </xf>
    <xf numFmtId="0" fontId="1" fillId="2" borderId="39" xfId="0" applyFont="1" applyFill="1" applyBorder="1" applyAlignment="1">
      <alignment horizontal="center" vertical="center"/>
    </xf>
    <xf numFmtId="0" fontId="1" fillId="0" borderId="36" xfId="0" applyFont="1" applyBorder="1" applyAlignment="1">
      <alignment horizontal="center" vertical="center"/>
    </xf>
    <xf numFmtId="1" fontId="1" fillId="0" borderId="34" xfId="0" applyNumberFormat="1" applyFont="1" applyFill="1" applyBorder="1" applyAlignment="1">
      <alignment horizontal="center" vertical="center"/>
    </xf>
    <xf numFmtId="2" fontId="1" fillId="3" borderId="29" xfId="0" applyNumberFormat="1" applyFont="1" applyFill="1" applyBorder="1" applyAlignment="1">
      <alignment horizontal="center"/>
    </xf>
    <xf numFmtId="0" fontId="1" fillId="3" borderId="29" xfId="0" applyFont="1" applyFill="1" applyBorder="1" applyAlignment="1">
      <alignment horizontal="center"/>
    </xf>
    <xf numFmtId="0" fontId="1" fillId="9" borderId="29" xfId="0" applyFont="1" applyFill="1" applyBorder="1" applyAlignment="1">
      <alignment horizontal="center"/>
    </xf>
    <xf numFmtId="0" fontId="1" fillId="0" borderId="42" xfId="0" applyFont="1" applyBorder="1" applyAlignment="1">
      <alignment horizontal="center"/>
    </xf>
    <xf numFmtId="0" fontId="1" fillId="0" borderId="36" xfId="0" applyFont="1" applyBorder="1" applyAlignment="1">
      <alignment horizontal="left"/>
    </xf>
    <xf numFmtId="0" fontId="1" fillId="0" borderId="0" xfId="0" applyFont="1" applyBorder="1" applyAlignment="1">
      <alignment vertical="center"/>
    </xf>
    <xf numFmtId="1" fontId="1" fillId="0" borderId="10" xfId="0" applyNumberFormat="1" applyFont="1" applyFill="1" applyBorder="1" applyAlignment="1">
      <alignment horizontal="center"/>
    </xf>
    <xf numFmtId="0" fontId="1" fillId="0" borderId="14" xfId="0" applyFont="1" applyBorder="1" applyAlignment="1">
      <alignment horizontal="center" vertical="center"/>
    </xf>
    <xf numFmtId="0" fontId="1" fillId="0" borderId="20" xfId="0" applyFont="1" applyBorder="1" applyAlignment="1">
      <alignment horizontal="center" vertical="center"/>
    </xf>
    <xf numFmtId="0" fontId="1" fillId="0" borderId="10" xfId="0" applyFont="1" applyFill="1" applyBorder="1" applyAlignment="1">
      <alignment horizontal="center" vertical="center"/>
    </xf>
    <xf numFmtId="0" fontId="1" fillId="0" borderId="11" xfId="0" applyFont="1" applyBorder="1" applyAlignment="1">
      <alignment horizontal="center" vertical="center"/>
    </xf>
    <xf numFmtId="0" fontId="1" fillId="0" borderId="10" xfId="0" applyFont="1" applyBorder="1" applyAlignment="1">
      <alignment horizontal="center" vertical="center"/>
    </xf>
    <xf numFmtId="0" fontId="1" fillId="0" borderId="32" xfId="0" applyFont="1" applyBorder="1" applyAlignment="1">
      <alignment horizontal="center" vertical="center"/>
    </xf>
    <xf numFmtId="0" fontId="1" fillId="0" borderId="34" xfId="0" applyFont="1" applyFill="1" applyBorder="1" applyAlignment="1">
      <alignment horizontal="left"/>
    </xf>
    <xf numFmtId="2" fontId="1" fillId="9" borderId="10" xfId="0" applyNumberFormat="1" applyFont="1" applyFill="1" applyBorder="1" applyAlignment="1">
      <alignment horizontal="center"/>
    </xf>
    <xf numFmtId="2" fontId="1" fillId="9" borderId="34" xfId="0" applyNumberFormat="1" applyFont="1" applyFill="1" applyBorder="1" applyAlignment="1">
      <alignment horizontal="center"/>
    </xf>
    <xf numFmtId="2" fontId="1" fillId="9" borderId="29" xfId="0" applyNumberFormat="1" applyFont="1" applyFill="1" applyBorder="1" applyAlignment="1">
      <alignment horizontal="center"/>
    </xf>
    <xf numFmtId="0" fontId="1" fillId="0" borderId="57" xfId="0" applyFont="1" applyBorder="1"/>
    <xf numFmtId="0" fontId="19" fillId="0" borderId="0" xfId="0" applyFont="1" applyAlignment="1">
      <alignment vertical="center"/>
    </xf>
    <xf numFmtId="0" fontId="2" fillId="0" borderId="0" xfId="0" applyFont="1" applyFill="1" applyBorder="1" applyAlignment="1">
      <alignment vertical="center"/>
    </xf>
    <xf numFmtId="0" fontId="17" fillId="0" borderId="0" xfId="0" applyFont="1" applyAlignment="1">
      <alignment vertical="center"/>
    </xf>
    <xf numFmtId="0" fontId="24" fillId="0" borderId="0" xfId="0" applyFont="1" applyAlignment="1">
      <alignment vertical="center"/>
    </xf>
    <xf numFmtId="0" fontId="25" fillId="0" borderId="0" xfId="0" applyFont="1"/>
    <xf numFmtId="0" fontId="26" fillId="0" borderId="0" xfId="0" applyFont="1" applyAlignment="1">
      <alignment horizontal="center"/>
    </xf>
    <xf numFmtId="0" fontId="19" fillId="0" borderId="0" xfId="0" applyFont="1" applyAlignment="1">
      <alignment horizontal="center"/>
    </xf>
    <xf numFmtId="0" fontId="19" fillId="0" borderId="0" xfId="0" applyFont="1"/>
    <xf numFmtId="0" fontId="27" fillId="0" borderId="0" xfId="0" applyFont="1" applyAlignment="1">
      <alignment vertical="center"/>
    </xf>
    <xf numFmtId="0" fontId="28" fillId="0" borderId="0" xfId="0" applyFont="1"/>
    <xf numFmtId="1" fontId="26" fillId="0" borderId="0" xfId="0" applyNumberFormat="1" applyFont="1" applyAlignment="1">
      <alignment horizontal="center"/>
    </xf>
    <xf numFmtId="2" fontId="26" fillId="0" borderId="0" xfId="0" applyNumberFormat="1" applyFont="1" applyAlignment="1">
      <alignment horizontal="center"/>
    </xf>
    <xf numFmtId="0" fontId="27" fillId="0" borderId="0" xfId="0" applyFont="1" applyAlignment="1">
      <alignment horizontal="left" vertical="center"/>
    </xf>
    <xf numFmtId="0" fontId="29" fillId="0" borderId="0" xfId="0" applyFont="1" applyAlignment="1">
      <alignment horizontal="left" vertical="center"/>
    </xf>
    <xf numFmtId="0" fontId="29" fillId="0" borderId="0" xfId="0" applyFont="1" applyAlignment="1">
      <alignment vertical="center"/>
    </xf>
    <xf numFmtId="0" fontId="30" fillId="0" borderId="0" xfId="0" applyFont="1" applyAlignment="1">
      <alignment vertical="center"/>
    </xf>
    <xf numFmtId="0" fontId="30" fillId="0" borderId="0" xfId="0" applyFont="1" applyAlignment="1">
      <alignment horizontal="center" vertical="center"/>
    </xf>
    <xf numFmtId="2" fontId="30" fillId="0" borderId="0" xfId="0" applyNumberFormat="1" applyFont="1" applyAlignment="1">
      <alignment horizontal="center" vertical="center"/>
    </xf>
    <xf numFmtId="0" fontId="31" fillId="0" borderId="0" xfId="0" applyFont="1" applyAlignment="1">
      <alignment vertical="center"/>
    </xf>
    <xf numFmtId="0" fontId="25" fillId="0" borderId="0" xfId="0" applyFont="1" applyAlignment="1">
      <alignment vertical="center"/>
    </xf>
    <xf numFmtId="0" fontId="27" fillId="13" borderId="9" xfId="0" applyFont="1" applyFill="1" applyBorder="1" applyAlignment="1">
      <alignment horizontal="center" vertical="center"/>
    </xf>
    <xf numFmtId="0" fontId="27" fillId="13" borderId="24" xfId="0" applyFont="1" applyFill="1" applyBorder="1" applyAlignment="1">
      <alignment horizontal="center" vertical="center"/>
    </xf>
    <xf numFmtId="0" fontId="27" fillId="13" borderId="25" xfId="0" applyFont="1" applyFill="1" applyBorder="1" applyAlignment="1">
      <alignment horizontal="center" vertical="center"/>
    </xf>
    <xf numFmtId="0" fontId="33" fillId="15" borderId="9" xfId="0" applyFont="1" applyFill="1" applyBorder="1" applyAlignment="1">
      <alignment horizontal="center" vertical="center" textRotation="90" wrapText="1"/>
    </xf>
    <xf numFmtId="0" fontId="33" fillId="15" borderId="24" xfId="0" applyFont="1" applyFill="1" applyBorder="1" applyAlignment="1">
      <alignment horizontal="center" vertical="center" textRotation="90" wrapText="1"/>
    </xf>
    <xf numFmtId="2" fontId="33" fillId="15" borderId="9" xfId="0" applyNumberFormat="1" applyFont="1" applyFill="1" applyBorder="1" applyAlignment="1">
      <alignment horizontal="center" vertical="center" textRotation="90" wrapText="1"/>
    </xf>
    <xf numFmtId="1" fontId="33" fillId="15" borderId="25" xfId="0" applyNumberFormat="1" applyFont="1" applyFill="1" applyBorder="1" applyAlignment="1">
      <alignment horizontal="center" vertical="center" textRotation="90" wrapText="1"/>
    </xf>
    <xf numFmtId="2" fontId="34" fillId="14" borderId="9" xfId="0" applyNumberFormat="1" applyFont="1" applyFill="1" applyBorder="1" applyAlignment="1">
      <alignment horizontal="center" vertical="center" textRotation="90" wrapText="1"/>
    </xf>
    <xf numFmtId="0" fontId="34" fillId="14" borderId="9" xfId="0" applyFont="1" applyFill="1" applyBorder="1" applyAlignment="1">
      <alignment horizontal="center" vertical="center" textRotation="90" wrapText="1"/>
    </xf>
    <xf numFmtId="0" fontId="33" fillId="0" borderId="0" xfId="0" applyFont="1" applyAlignment="1">
      <alignment horizontal="center" vertical="center" textRotation="90" wrapText="1"/>
    </xf>
    <xf numFmtId="0" fontId="35" fillId="16" borderId="9" xfId="0" applyFont="1" applyFill="1" applyBorder="1" applyAlignment="1">
      <alignment horizontal="center" vertical="center" wrapText="1"/>
    </xf>
    <xf numFmtId="0" fontId="17" fillId="16" borderId="9" xfId="0" applyFont="1" applyFill="1" applyBorder="1" applyAlignment="1">
      <alignment horizontal="center" vertical="center"/>
    </xf>
    <xf numFmtId="2" fontId="17" fillId="16" borderId="9" xfId="0" applyNumberFormat="1" applyFont="1" applyFill="1" applyBorder="1" applyAlignment="1">
      <alignment horizontal="center" vertical="center"/>
    </xf>
    <xf numFmtId="1" fontId="17" fillId="16" borderId="9" xfId="0" applyNumberFormat="1" applyFont="1" applyFill="1" applyBorder="1" applyAlignment="1">
      <alignment horizontal="center" vertical="center"/>
    </xf>
    <xf numFmtId="0" fontId="17" fillId="17" borderId="1" xfId="0" applyFont="1" applyFill="1" applyBorder="1" applyAlignment="1">
      <alignment horizontal="center" vertical="center" wrapText="1"/>
    </xf>
    <xf numFmtId="0" fontId="17" fillId="17" borderId="68" xfId="0" applyFont="1" applyFill="1" applyBorder="1" applyAlignment="1">
      <alignment horizontal="left" vertical="center" wrapText="1"/>
    </xf>
    <xf numFmtId="0" fontId="19" fillId="17" borderId="15" xfId="0" applyFont="1" applyFill="1" applyBorder="1" applyAlignment="1">
      <alignment horizontal="center" vertical="center"/>
    </xf>
    <xf numFmtId="2" fontId="19" fillId="17" borderId="15" xfId="0" applyNumberFormat="1" applyFont="1" applyFill="1" applyBorder="1" applyAlignment="1">
      <alignment horizontal="center" vertical="center"/>
    </xf>
    <xf numFmtId="1" fontId="19" fillId="17" borderId="15" xfId="0" applyNumberFormat="1" applyFont="1" applyFill="1" applyBorder="1" applyAlignment="1">
      <alignment horizontal="center" vertical="center"/>
    </xf>
    <xf numFmtId="0" fontId="18" fillId="0" borderId="9" xfId="0" applyFont="1" applyBorder="1" applyAlignment="1">
      <alignment horizontal="center" vertical="center" wrapText="1"/>
    </xf>
    <xf numFmtId="0" fontId="17" fillId="3" borderId="2" xfId="0" applyFont="1" applyFill="1" applyBorder="1" applyAlignment="1">
      <alignment horizontal="left" vertical="center" wrapText="1"/>
    </xf>
    <xf numFmtId="0" fontId="26" fillId="0" borderId="6" xfId="0" applyFont="1" applyBorder="1" applyAlignment="1">
      <alignment horizontal="left" vertical="center" wrapText="1"/>
    </xf>
    <xf numFmtId="0" fontId="19" fillId="0" borderId="9" xfId="0" applyFont="1" applyBorder="1" applyAlignment="1">
      <alignment horizontal="center" vertical="center"/>
    </xf>
    <xf numFmtId="0" fontId="19" fillId="18" borderId="9" xfId="0" applyFont="1" applyFill="1" applyBorder="1" applyAlignment="1">
      <alignment horizontal="center" vertical="center"/>
    </xf>
    <xf numFmtId="2" fontId="19" fillId="3" borderId="9" xfId="0" applyNumberFormat="1" applyFont="1" applyFill="1" applyBorder="1" applyAlignment="1">
      <alignment horizontal="center" vertical="center"/>
    </xf>
    <xf numFmtId="1" fontId="19" fillId="0" borderId="9" xfId="0" applyNumberFormat="1" applyFont="1" applyBorder="1" applyAlignment="1">
      <alignment horizontal="center" vertical="center"/>
    </xf>
    <xf numFmtId="0" fontId="19" fillId="3" borderId="9" xfId="0" applyFont="1" applyFill="1" applyBorder="1" applyAlignment="1">
      <alignment horizontal="center" vertical="center"/>
    </xf>
    <xf numFmtId="2" fontId="19" fillId="0" borderId="9" xfId="0" applyNumberFormat="1" applyFont="1" applyBorder="1" applyAlignment="1">
      <alignment horizontal="center" vertical="center"/>
    </xf>
    <xf numFmtId="0" fontId="17" fillId="3" borderId="9" xfId="0" applyFont="1" applyFill="1" applyBorder="1" applyAlignment="1">
      <alignment horizontal="center" vertical="center"/>
    </xf>
    <xf numFmtId="0" fontId="18" fillId="0" borderId="6" xfId="0" applyFont="1" applyBorder="1" applyAlignment="1">
      <alignment horizontal="center" vertical="center" wrapText="1"/>
    </xf>
    <xf numFmtId="0" fontId="18" fillId="17" borderId="0" xfId="0" applyFont="1" applyFill="1" applyAlignment="1">
      <alignment horizontal="center" vertical="center" wrapText="1"/>
    </xf>
    <xf numFmtId="0" fontId="28" fillId="0" borderId="0" xfId="0" applyFont="1" applyAlignment="1">
      <alignment vertical="center"/>
    </xf>
    <xf numFmtId="0" fontId="18" fillId="17" borderId="9" xfId="0" applyFont="1" applyFill="1" applyBorder="1" applyAlignment="1">
      <alignment horizontal="center" vertical="center" wrapText="1"/>
    </xf>
    <xf numFmtId="0" fontId="17" fillId="17" borderId="15" xfId="0" applyFont="1" applyFill="1" applyBorder="1" applyAlignment="1">
      <alignment horizontal="left" vertical="center" wrapText="1"/>
    </xf>
    <xf numFmtId="0" fontId="26" fillId="17" borderId="15" xfId="0" applyFont="1" applyFill="1" applyBorder="1" applyAlignment="1">
      <alignment horizontal="left" vertical="center" wrapText="1"/>
    </xf>
    <xf numFmtId="0" fontId="17" fillId="17" borderId="15" xfId="0" applyFont="1" applyFill="1" applyBorder="1" applyAlignment="1">
      <alignment horizontal="center" vertical="center"/>
    </xf>
    <xf numFmtId="0" fontId="26" fillId="0" borderId="9" xfId="0" applyFont="1" applyBorder="1" applyAlignment="1">
      <alignment horizontal="center" vertical="center"/>
    </xf>
    <xf numFmtId="0" fontId="36" fillId="0" borderId="9" xfId="0" applyFont="1" applyBorder="1" applyAlignment="1">
      <alignment horizontal="center" vertical="center"/>
    </xf>
    <xf numFmtId="0" fontId="17" fillId="0" borderId="9" xfId="0" applyFont="1" applyBorder="1" applyAlignment="1">
      <alignment horizontal="center" vertical="center"/>
    </xf>
    <xf numFmtId="0" fontId="18" fillId="9" borderId="9" xfId="0" applyFont="1" applyFill="1" applyBorder="1" applyAlignment="1">
      <alignment horizontal="center" vertical="center" wrapText="1"/>
    </xf>
    <xf numFmtId="0" fontId="17" fillId="9" borderId="9" xfId="0" applyFont="1" applyFill="1" applyBorder="1" applyAlignment="1">
      <alignment horizontal="left" vertical="center" wrapText="1"/>
    </xf>
    <xf numFmtId="0" fontId="26" fillId="0" borderId="9" xfId="0" applyFont="1" applyBorder="1" applyAlignment="1">
      <alignment horizontal="left" vertical="center" wrapText="1"/>
    </xf>
    <xf numFmtId="0" fontId="19" fillId="9" borderId="9" xfId="0" applyFont="1" applyFill="1" applyBorder="1" applyAlignment="1">
      <alignment horizontal="center" vertical="center"/>
    </xf>
    <xf numFmtId="2" fontId="19" fillId="9" borderId="9" xfId="0" applyNumberFormat="1" applyFont="1" applyFill="1" applyBorder="1" applyAlignment="1">
      <alignment horizontal="center" vertical="center"/>
    </xf>
    <xf numFmtId="2" fontId="26" fillId="0" borderId="9" xfId="0" applyNumberFormat="1" applyFont="1" applyBorder="1" applyAlignment="1">
      <alignment horizontal="center" vertical="center"/>
    </xf>
    <xf numFmtId="0" fontId="18" fillId="0" borderId="0" xfId="0" applyFont="1"/>
    <xf numFmtId="0" fontId="19" fillId="0" borderId="0" xfId="0" applyFont="1" applyAlignment="1">
      <alignment horizontal="left"/>
    </xf>
    <xf numFmtId="2" fontId="19" fillId="0" borderId="0" xfId="0" applyNumberFormat="1" applyFont="1" applyAlignment="1">
      <alignment horizontal="center"/>
    </xf>
    <xf numFmtId="1" fontId="19" fillId="0" borderId="0" xfId="0" applyNumberFormat="1" applyFont="1" applyAlignment="1">
      <alignment horizontal="center"/>
    </xf>
    <xf numFmtId="0" fontId="18" fillId="0" borderId="21" xfId="0" applyFont="1" applyBorder="1" applyAlignment="1">
      <alignment horizontal="center" vertical="center" wrapText="1"/>
    </xf>
    <xf numFmtId="0" fontId="17" fillId="3" borderId="69" xfId="0" applyFont="1" applyFill="1" applyBorder="1" applyAlignment="1">
      <alignment horizontal="left" vertical="center" wrapText="1"/>
    </xf>
    <xf numFmtId="0" fontId="26" fillId="0" borderId="22" xfId="0" applyFont="1" applyBorder="1" applyAlignment="1">
      <alignment horizontal="left" vertical="center" wrapText="1"/>
    </xf>
    <xf numFmtId="0" fontId="19" fillId="0" borderId="22" xfId="0" applyFont="1" applyBorder="1" applyAlignment="1">
      <alignment horizontal="center" vertical="center"/>
    </xf>
    <xf numFmtId="0" fontId="19" fillId="18" borderId="22" xfId="0" applyFont="1" applyFill="1" applyBorder="1" applyAlignment="1">
      <alignment horizontal="center" vertical="center"/>
    </xf>
    <xf numFmtId="2" fontId="19" fillId="3" borderId="22" xfId="0" applyNumberFormat="1" applyFont="1" applyFill="1" applyBorder="1" applyAlignment="1">
      <alignment horizontal="center" vertical="center"/>
    </xf>
    <xf numFmtId="1" fontId="19" fillId="0" borderId="22" xfId="0" applyNumberFormat="1" applyFont="1" applyBorder="1" applyAlignment="1">
      <alignment horizontal="center" vertical="center"/>
    </xf>
    <xf numFmtId="0" fontId="19" fillId="3" borderId="22" xfId="0" applyFont="1" applyFill="1" applyBorder="1" applyAlignment="1">
      <alignment horizontal="center" vertical="center"/>
    </xf>
    <xf numFmtId="2" fontId="19" fillId="0" borderId="22" xfId="0" applyNumberFormat="1" applyFont="1" applyBorder="1" applyAlignment="1">
      <alignment horizontal="center" vertical="center"/>
    </xf>
    <xf numFmtId="0" fontId="17" fillId="3" borderId="23" xfId="0" applyFont="1" applyFill="1" applyBorder="1" applyAlignment="1">
      <alignment horizontal="center" vertical="center"/>
    </xf>
    <xf numFmtId="0" fontId="39" fillId="11" borderId="22" xfId="3" applyFont="1" applyBorder="1" applyAlignment="1">
      <alignment horizontal="left" vertical="center" wrapText="1"/>
    </xf>
    <xf numFmtId="0" fontId="40" fillId="11" borderId="22" xfId="3" applyFont="1" applyBorder="1" applyAlignment="1">
      <alignment horizontal="left" vertical="center" wrapText="1"/>
    </xf>
    <xf numFmtId="2" fontId="40" fillId="11" borderId="22" xfId="3" applyNumberFormat="1" applyFont="1" applyBorder="1" applyAlignment="1">
      <alignment horizontal="center" vertical="center"/>
    </xf>
    <xf numFmtId="0" fontId="40" fillId="11" borderId="22" xfId="3" applyFont="1" applyBorder="1" applyAlignment="1">
      <alignment horizontal="center" vertical="center"/>
    </xf>
    <xf numFmtId="0" fontId="19" fillId="0" borderId="60" xfId="0" applyFont="1" applyBorder="1" applyAlignment="1">
      <alignment horizontal="center" vertical="center"/>
    </xf>
    <xf numFmtId="2" fontId="19" fillId="3" borderId="60" xfId="0" applyNumberFormat="1" applyFont="1" applyFill="1" applyBorder="1" applyAlignment="1">
      <alignment horizontal="center" vertical="center"/>
    </xf>
    <xf numFmtId="1" fontId="19" fillId="0" borderId="60" xfId="0" applyNumberFormat="1" applyFont="1" applyBorder="1" applyAlignment="1">
      <alignment horizontal="center" vertical="center"/>
    </xf>
    <xf numFmtId="0" fontId="19" fillId="3" borderId="60" xfId="0" applyFont="1" applyFill="1" applyBorder="1" applyAlignment="1">
      <alignment horizontal="center" vertical="center"/>
    </xf>
    <xf numFmtId="2" fontId="19" fillId="0" borderId="60" xfId="0" applyNumberFormat="1" applyFont="1" applyBorder="1" applyAlignment="1">
      <alignment horizontal="center" vertical="center"/>
    </xf>
    <xf numFmtId="0" fontId="17" fillId="3" borderId="62" xfId="0" applyFont="1" applyFill="1" applyBorder="1" applyAlignment="1">
      <alignment horizontal="center" vertical="center"/>
    </xf>
    <xf numFmtId="0" fontId="19" fillId="0" borderId="66" xfId="0" applyFont="1" applyBorder="1" applyAlignment="1">
      <alignment horizontal="center" vertical="center"/>
    </xf>
    <xf numFmtId="2" fontId="19" fillId="3" borderId="66" xfId="0" applyNumberFormat="1" applyFont="1" applyFill="1" applyBorder="1" applyAlignment="1">
      <alignment horizontal="center" vertical="center"/>
    </xf>
    <xf numFmtId="1" fontId="19" fillId="0" borderId="66" xfId="0" applyNumberFormat="1" applyFont="1" applyBorder="1" applyAlignment="1">
      <alignment horizontal="center" vertical="center"/>
    </xf>
    <xf numFmtId="0" fontId="19" fillId="3" borderId="66" xfId="0" applyFont="1" applyFill="1" applyBorder="1" applyAlignment="1">
      <alignment horizontal="center" vertical="center"/>
    </xf>
    <xf numFmtId="2" fontId="19" fillId="0" borderId="66" xfId="0" applyNumberFormat="1" applyFont="1" applyBorder="1" applyAlignment="1">
      <alignment horizontal="center" vertical="center"/>
    </xf>
    <xf numFmtId="2" fontId="19" fillId="9" borderId="66" xfId="0" applyNumberFormat="1" applyFont="1" applyFill="1" applyBorder="1" applyAlignment="1">
      <alignment horizontal="center" vertical="center"/>
    </xf>
    <xf numFmtId="0" fontId="19" fillId="9" borderId="66" xfId="0" applyFont="1" applyFill="1" applyBorder="1" applyAlignment="1">
      <alignment horizontal="center" vertical="center"/>
    </xf>
    <xf numFmtId="0" fontId="17" fillId="0" borderId="67" xfId="0" applyFont="1" applyBorder="1" applyAlignment="1">
      <alignment horizontal="center" vertical="center"/>
    </xf>
    <xf numFmtId="1" fontId="19" fillId="3" borderId="60" xfId="0" applyNumberFormat="1" applyFont="1" applyFill="1" applyBorder="1" applyAlignment="1">
      <alignment horizontal="center" vertical="center"/>
    </xf>
    <xf numFmtId="1" fontId="19" fillId="3" borderId="66" xfId="0" applyNumberFormat="1" applyFont="1" applyFill="1" applyBorder="1" applyAlignment="1">
      <alignment horizontal="center" vertical="center"/>
    </xf>
    <xf numFmtId="0" fontId="17" fillId="3" borderId="67" xfId="0" applyFont="1" applyFill="1" applyBorder="1" applyAlignment="1">
      <alignment horizontal="center" vertical="center"/>
    </xf>
    <xf numFmtId="0" fontId="26" fillId="3" borderId="9" xfId="0" applyFont="1" applyFill="1" applyBorder="1" applyAlignment="1">
      <alignment horizontal="center" vertical="center"/>
    </xf>
    <xf numFmtId="0" fontId="41" fillId="11" borderId="21" xfId="3" applyFont="1" applyBorder="1" applyAlignment="1">
      <alignment horizontal="center" vertical="center" wrapText="1"/>
    </xf>
    <xf numFmtId="0" fontId="42" fillId="0" borderId="0" xfId="0" applyFont="1" applyAlignment="1">
      <alignment vertical="center"/>
    </xf>
    <xf numFmtId="0" fontId="19" fillId="21" borderId="9" xfId="0" applyFont="1" applyFill="1" applyBorder="1" applyAlignment="1">
      <alignment horizontal="center" vertical="center"/>
    </xf>
    <xf numFmtId="44" fontId="19" fillId="0" borderId="0" xfId="2" applyFont="1" applyAlignment="1">
      <alignment horizontal="center"/>
    </xf>
    <xf numFmtId="0" fontId="35" fillId="17" borderId="1" xfId="0" applyFont="1" applyFill="1" applyBorder="1" applyAlignment="1">
      <alignment horizontal="center" vertical="center" wrapText="1"/>
    </xf>
    <xf numFmtId="0" fontId="44" fillId="0" borderId="0" xfId="0" applyFont="1"/>
    <xf numFmtId="0" fontId="44" fillId="0" borderId="0" xfId="0" applyFont="1" applyAlignment="1">
      <alignment vertical="center"/>
    </xf>
    <xf numFmtId="0" fontId="35" fillId="0" borderId="0" xfId="0" applyFont="1"/>
    <xf numFmtId="0" fontId="26" fillId="17" borderId="68" xfId="0" applyFont="1" applyFill="1" applyBorder="1" applyAlignment="1">
      <alignment horizontal="left" vertical="center" wrapText="1"/>
    </xf>
    <xf numFmtId="0" fontId="19" fillId="17" borderId="68" xfId="0" applyFont="1" applyFill="1" applyBorder="1" applyAlignment="1">
      <alignment horizontal="center" vertical="center"/>
    </xf>
    <xf numFmtId="2" fontId="19" fillId="17" borderId="68" xfId="0" applyNumberFormat="1" applyFont="1" applyFill="1" applyBorder="1" applyAlignment="1">
      <alignment horizontal="center" vertical="center"/>
    </xf>
    <xf numFmtId="1" fontId="19" fillId="17" borderId="68" xfId="0" applyNumberFormat="1" applyFont="1" applyFill="1" applyBorder="1" applyAlignment="1">
      <alignment horizontal="center" vertical="center"/>
    </xf>
    <xf numFmtId="0" fontId="17" fillId="17" borderId="68" xfId="0" applyFont="1" applyFill="1" applyBorder="1" applyAlignment="1">
      <alignment horizontal="center" vertical="center"/>
    </xf>
    <xf numFmtId="0" fontId="17" fillId="0" borderId="64" xfId="0" applyFont="1" applyBorder="1" applyAlignment="1">
      <alignment horizontal="center" vertical="center"/>
    </xf>
    <xf numFmtId="0" fontId="35" fillId="17" borderId="7" xfId="0" applyFont="1" applyFill="1" applyBorder="1" applyAlignment="1">
      <alignment horizontal="center" vertical="center" wrapText="1"/>
    </xf>
    <xf numFmtId="0" fontId="17" fillId="17" borderId="0" xfId="0" applyFont="1" applyFill="1" applyBorder="1" applyAlignment="1">
      <alignment horizontal="left" vertical="center" wrapText="1"/>
    </xf>
    <xf numFmtId="0" fontId="26" fillId="17" borderId="0" xfId="0" applyFont="1" applyFill="1" applyBorder="1" applyAlignment="1">
      <alignment horizontal="left" vertical="center" wrapText="1"/>
    </xf>
    <xf numFmtId="0" fontId="19" fillId="17" borderId="0" xfId="0" applyFont="1" applyFill="1" applyBorder="1" applyAlignment="1">
      <alignment horizontal="center" vertical="center"/>
    </xf>
    <xf numFmtId="2" fontId="19" fillId="17" borderId="0" xfId="0" applyNumberFormat="1" applyFont="1" applyFill="1" applyBorder="1" applyAlignment="1">
      <alignment horizontal="center" vertical="center"/>
    </xf>
    <xf numFmtId="1" fontId="19" fillId="17" borderId="0" xfId="0" applyNumberFormat="1" applyFont="1" applyFill="1" applyBorder="1" applyAlignment="1">
      <alignment horizontal="center" vertical="center"/>
    </xf>
    <xf numFmtId="0" fontId="17" fillId="17" borderId="0" xfId="0" applyFont="1" applyFill="1" applyBorder="1" applyAlignment="1">
      <alignment horizontal="center" vertical="center"/>
    </xf>
    <xf numFmtId="0" fontId="19" fillId="18" borderId="60" xfId="0" applyFont="1" applyFill="1" applyBorder="1" applyAlignment="1">
      <alignment horizontal="center" vertical="center"/>
    </xf>
    <xf numFmtId="0" fontId="19" fillId="18" borderId="66" xfId="0" applyFont="1" applyFill="1" applyBorder="1" applyAlignment="1">
      <alignment horizontal="center" vertical="center"/>
    </xf>
    <xf numFmtId="0" fontId="35" fillId="16" borderId="6" xfId="0" applyFont="1" applyFill="1" applyBorder="1" applyAlignment="1">
      <alignment horizontal="center" vertical="center" wrapText="1"/>
    </xf>
    <xf numFmtId="0" fontId="17" fillId="16" borderId="6" xfId="0" applyFont="1" applyFill="1" applyBorder="1" applyAlignment="1">
      <alignment horizontal="center" vertical="center"/>
    </xf>
    <xf numFmtId="2" fontId="17" fillId="16" borderId="6" xfId="0" applyNumberFormat="1" applyFont="1" applyFill="1" applyBorder="1" applyAlignment="1">
      <alignment horizontal="center" vertical="center"/>
    </xf>
    <xf numFmtId="1" fontId="17" fillId="16" borderId="6" xfId="0" applyNumberFormat="1" applyFont="1" applyFill="1" applyBorder="1" applyAlignment="1">
      <alignment horizontal="center" vertical="center"/>
    </xf>
    <xf numFmtId="1" fontId="19" fillId="3" borderId="22" xfId="0" applyNumberFormat="1" applyFont="1" applyFill="1" applyBorder="1" applyAlignment="1">
      <alignment horizontal="center" vertical="center"/>
    </xf>
    <xf numFmtId="0" fontId="26" fillId="3" borderId="60" xfId="0" applyFont="1" applyFill="1" applyBorder="1" applyAlignment="1">
      <alignment horizontal="center" vertical="center"/>
    </xf>
    <xf numFmtId="0" fontId="26" fillId="3" borderId="66" xfId="0" applyFont="1" applyFill="1" applyBorder="1" applyAlignment="1">
      <alignment horizontal="center" vertical="center"/>
    </xf>
    <xf numFmtId="0" fontId="17" fillId="17" borderId="4" xfId="0" applyFont="1" applyFill="1" applyBorder="1" applyAlignment="1">
      <alignment horizontal="left" vertical="center" wrapText="1"/>
    </xf>
    <xf numFmtId="0" fontId="26" fillId="17" borderId="4" xfId="0" applyFont="1" applyFill="1" applyBorder="1" applyAlignment="1">
      <alignment horizontal="left" vertical="center" wrapText="1"/>
    </xf>
    <xf numFmtId="0" fontId="19" fillId="17" borderId="4" xfId="0" applyFont="1" applyFill="1" applyBorder="1" applyAlignment="1">
      <alignment horizontal="center" vertical="center"/>
    </xf>
    <xf numFmtId="2" fontId="19" fillId="17" borderId="4" xfId="0" applyNumberFormat="1" applyFont="1" applyFill="1" applyBorder="1" applyAlignment="1">
      <alignment horizontal="center" vertical="center"/>
    </xf>
    <xf numFmtId="1" fontId="19" fillId="17" borderId="4" xfId="0" applyNumberFormat="1" applyFont="1" applyFill="1" applyBorder="1" applyAlignment="1">
      <alignment horizontal="center" vertical="center"/>
    </xf>
    <xf numFmtId="0" fontId="17" fillId="17" borderId="4" xfId="0" applyFont="1" applyFill="1" applyBorder="1" applyAlignment="1">
      <alignment horizontal="center" vertical="center"/>
    </xf>
    <xf numFmtId="0" fontId="46" fillId="12" borderId="22" xfId="4" applyFont="1" applyBorder="1" applyAlignment="1">
      <alignment horizontal="left" vertical="center" wrapText="1"/>
    </xf>
    <xf numFmtId="0" fontId="47" fillId="12" borderId="22" xfId="4" applyFont="1" applyBorder="1" applyAlignment="1">
      <alignment horizontal="center" vertical="center"/>
    </xf>
    <xf numFmtId="2" fontId="47" fillId="12" borderId="22" xfId="4" applyNumberFormat="1" applyFont="1" applyBorder="1" applyAlignment="1">
      <alignment horizontal="center" vertical="center"/>
    </xf>
    <xf numFmtId="0" fontId="17" fillId="3" borderId="64" xfId="0" applyFont="1" applyFill="1" applyBorder="1" applyAlignment="1">
      <alignment horizontal="center" vertical="center"/>
    </xf>
    <xf numFmtId="0" fontId="35" fillId="17" borderId="5" xfId="0" applyFont="1" applyFill="1" applyBorder="1" applyAlignment="1">
      <alignment horizontal="center" vertical="center" wrapText="1"/>
    </xf>
    <xf numFmtId="0" fontId="17" fillId="17" borderId="0" xfId="0" applyFont="1" applyFill="1" applyBorder="1" applyAlignment="1">
      <alignment horizontal="center" vertical="center" wrapText="1"/>
    </xf>
    <xf numFmtId="0" fontId="39" fillId="11" borderId="69" xfId="3" applyFont="1" applyBorder="1" applyAlignment="1">
      <alignment horizontal="left" vertical="center" wrapText="1"/>
    </xf>
    <xf numFmtId="0" fontId="18" fillId="17" borderId="6" xfId="0" applyFont="1" applyFill="1" applyBorder="1" applyAlignment="1">
      <alignment horizontal="center" vertical="center" wrapText="1"/>
    </xf>
    <xf numFmtId="0" fontId="18" fillId="17" borderId="8" xfId="0" applyFont="1" applyFill="1" applyBorder="1" applyAlignment="1">
      <alignment horizontal="center" vertical="center" wrapText="1"/>
    </xf>
    <xf numFmtId="0" fontId="18" fillId="9" borderId="21" xfId="0" applyFont="1" applyFill="1" applyBorder="1" applyAlignment="1">
      <alignment horizontal="center" vertical="center" wrapText="1"/>
    </xf>
    <xf numFmtId="0" fontId="17" fillId="9" borderId="22" xfId="0" applyFont="1" applyFill="1" applyBorder="1" applyAlignment="1">
      <alignment horizontal="left" vertical="center" wrapText="1"/>
    </xf>
    <xf numFmtId="0" fontId="19" fillId="21" borderId="22" xfId="0" applyFont="1" applyFill="1" applyBorder="1" applyAlignment="1">
      <alignment horizontal="center" vertical="center"/>
    </xf>
    <xf numFmtId="0" fontId="19" fillId="9" borderId="22" xfId="0" applyFont="1" applyFill="1" applyBorder="1" applyAlignment="1">
      <alignment horizontal="center" vertical="center"/>
    </xf>
    <xf numFmtId="2" fontId="19" fillId="9" borderId="22" xfId="0" applyNumberFormat="1" applyFont="1" applyFill="1" applyBorder="1" applyAlignment="1">
      <alignment horizontal="center" vertical="center"/>
    </xf>
    <xf numFmtId="0" fontId="18" fillId="17" borderId="7" xfId="0" applyFont="1" applyFill="1" applyBorder="1" applyAlignment="1">
      <alignment horizontal="center" vertical="center" wrapText="1"/>
    </xf>
    <xf numFmtId="0" fontId="19" fillId="21" borderId="60" xfId="0" applyFont="1" applyFill="1" applyBorder="1" applyAlignment="1">
      <alignment horizontal="center" vertical="center"/>
    </xf>
    <xf numFmtId="0" fontId="19" fillId="21" borderId="66" xfId="0" applyFont="1" applyFill="1" applyBorder="1" applyAlignment="1">
      <alignment horizontal="center" vertical="center"/>
    </xf>
    <xf numFmtId="0" fontId="26" fillId="0" borderId="66" xfId="0" applyFont="1" applyBorder="1" applyAlignment="1">
      <alignment horizontal="center" vertical="center"/>
    </xf>
    <xf numFmtId="0" fontId="36" fillId="0" borderId="66" xfId="0" applyFont="1" applyBorder="1" applyAlignment="1">
      <alignment horizontal="center" vertical="center"/>
    </xf>
    <xf numFmtId="0" fontId="25" fillId="0" borderId="0" xfId="0" applyFont="1" applyFill="1"/>
    <xf numFmtId="0" fontId="28" fillId="0" borderId="0" xfId="0" applyFont="1" applyFill="1"/>
    <xf numFmtId="0" fontId="33" fillId="15" borderId="25" xfId="0" applyFont="1" applyFill="1" applyBorder="1" applyAlignment="1">
      <alignment horizontal="center" vertical="center" textRotation="90" wrapText="1"/>
    </xf>
    <xf numFmtId="0" fontId="35" fillId="16" borderId="8" xfId="0" applyFont="1" applyFill="1" applyBorder="1" applyAlignment="1">
      <alignment horizontal="center" vertical="center" wrapText="1"/>
    </xf>
    <xf numFmtId="0" fontId="48" fillId="12" borderId="21" xfId="4" applyFont="1" applyBorder="1" applyAlignment="1">
      <alignment horizontal="center" vertical="center" wrapText="1"/>
    </xf>
    <xf numFmtId="2" fontId="19" fillId="21" borderId="9" xfId="0" applyNumberFormat="1" applyFont="1" applyFill="1" applyBorder="1" applyAlignment="1">
      <alignment horizontal="center" vertical="center"/>
    </xf>
    <xf numFmtId="0" fontId="18" fillId="3" borderId="21" xfId="0" applyFont="1" applyFill="1" applyBorder="1" applyAlignment="1">
      <alignment horizontal="center" vertical="center" wrapText="1"/>
    </xf>
    <xf numFmtId="2" fontId="19" fillId="21" borderId="22" xfId="0" applyNumberFormat="1" applyFont="1" applyFill="1" applyBorder="1" applyAlignment="1">
      <alignment horizontal="center" vertical="center"/>
    </xf>
    <xf numFmtId="2" fontId="19" fillId="21" borderId="60" xfId="0" applyNumberFormat="1" applyFont="1" applyFill="1" applyBorder="1" applyAlignment="1">
      <alignment horizontal="center" vertical="center"/>
    </xf>
    <xf numFmtId="2" fontId="19" fillId="21" borderId="66" xfId="0" applyNumberFormat="1" applyFont="1" applyFill="1" applyBorder="1" applyAlignment="1">
      <alignment horizontal="center" vertical="center"/>
    </xf>
    <xf numFmtId="0" fontId="19" fillId="0" borderId="0" xfId="0" applyFont="1" applyFill="1" applyAlignment="1">
      <alignment horizontal="left"/>
    </xf>
    <xf numFmtId="0" fontId="20" fillId="0" borderId="0" xfId="0" applyFont="1" applyAlignment="1">
      <alignment horizontal="center"/>
    </xf>
    <xf numFmtId="0" fontId="20" fillId="0" borderId="0" xfId="0" applyFont="1"/>
    <xf numFmtId="0" fontId="49" fillId="13" borderId="9" xfId="0" applyFont="1" applyFill="1" applyBorder="1" applyAlignment="1">
      <alignment horizontal="center" vertical="center"/>
    </xf>
    <xf numFmtId="0" fontId="49" fillId="13" borderId="24" xfId="0" applyFont="1" applyFill="1" applyBorder="1" applyAlignment="1">
      <alignment horizontal="center" vertical="center"/>
    </xf>
    <xf numFmtId="0" fontId="49" fillId="13" borderId="25" xfId="0" applyFont="1" applyFill="1" applyBorder="1" applyAlignment="1">
      <alignment horizontal="center" vertical="center"/>
    </xf>
    <xf numFmtId="0" fontId="51" fillId="0" borderId="0" xfId="0" applyFont="1" applyAlignment="1">
      <alignment vertical="center"/>
    </xf>
    <xf numFmtId="0" fontId="20" fillId="0" borderId="0" xfId="0" applyFont="1" applyAlignment="1">
      <alignment vertical="center"/>
    </xf>
    <xf numFmtId="0" fontId="52" fillId="0" borderId="0" xfId="0" applyFont="1"/>
    <xf numFmtId="0" fontId="20" fillId="0" borderId="0" xfId="0" applyFont="1" applyAlignment="1">
      <alignment horizontal="left"/>
    </xf>
    <xf numFmtId="2" fontId="20" fillId="0" borderId="0" xfId="0" applyNumberFormat="1" applyFont="1" applyAlignment="1">
      <alignment horizontal="center"/>
    </xf>
    <xf numFmtId="1" fontId="20" fillId="0" borderId="0" xfId="0" applyNumberFormat="1" applyFont="1" applyAlignment="1">
      <alignment horizontal="center"/>
    </xf>
    <xf numFmtId="0" fontId="1" fillId="0" borderId="10" xfId="0" applyFont="1" applyBorder="1" applyAlignment="1">
      <alignment horizontal="center"/>
    </xf>
    <xf numFmtId="0" fontId="1" fillId="0" borderId="32" xfId="0" applyFont="1" applyBorder="1" applyAlignment="1">
      <alignment horizontal="center"/>
    </xf>
    <xf numFmtId="0" fontId="1" fillId="0" borderId="10" xfId="0" applyFont="1" applyFill="1" applyBorder="1" applyAlignment="1">
      <alignment horizontal="center" vertical="center"/>
    </xf>
    <xf numFmtId="0" fontId="1" fillId="0" borderId="32" xfId="0" applyFont="1" applyFill="1" applyBorder="1" applyAlignment="1">
      <alignment horizontal="center" vertical="center"/>
    </xf>
    <xf numFmtId="0" fontId="1" fillId="0" borderId="19" xfId="0" applyFont="1" applyBorder="1" applyAlignment="1">
      <alignment horizontal="center"/>
    </xf>
    <xf numFmtId="0" fontId="26" fillId="0" borderId="6" xfId="0" applyFont="1" applyBorder="1" applyAlignment="1">
      <alignment horizontal="left" vertical="center" wrapText="1"/>
    </xf>
    <xf numFmtId="0" fontId="18" fillId="17" borderId="0" xfId="0" applyFont="1" applyFill="1" applyBorder="1" applyAlignment="1">
      <alignment horizontal="center" vertical="center" wrapText="1"/>
    </xf>
    <xf numFmtId="0" fontId="26" fillId="0" borderId="61" xfId="0" applyFont="1" applyBorder="1" applyAlignment="1">
      <alignment horizontal="left" vertical="center" wrapText="1"/>
    </xf>
    <xf numFmtId="0" fontId="17" fillId="17" borderId="5" xfId="0" applyFont="1" applyFill="1" applyBorder="1" applyAlignment="1">
      <alignment horizontal="center" vertical="center" wrapText="1"/>
    </xf>
    <xf numFmtId="0" fontId="17" fillId="23" borderId="6" xfId="0" applyFont="1" applyFill="1" applyBorder="1" applyAlignment="1">
      <alignment horizontal="left" vertical="center" wrapText="1"/>
    </xf>
    <xf numFmtId="0" fontId="9" fillId="0" borderId="24" xfId="0" applyFont="1" applyBorder="1" applyAlignment="1">
      <alignment horizontal="center" vertical="center"/>
    </xf>
    <xf numFmtId="0" fontId="5" fillId="5" borderId="1" xfId="0" applyFont="1" applyFill="1" applyBorder="1" applyAlignment="1">
      <alignment horizontal="center" vertical="center" textRotation="90" wrapText="1"/>
    </xf>
    <xf numFmtId="0" fontId="1" fillId="0" borderId="13" xfId="0" applyFont="1" applyBorder="1" applyAlignment="1">
      <alignment horizontal="center"/>
    </xf>
    <xf numFmtId="0" fontId="1" fillId="0" borderId="72" xfId="0" applyFont="1" applyBorder="1" applyAlignment="1">
      <alignment horizontal="center"/>
    </xf>
    <xf numFmtId="0" fontId="1" fillId="2" borderId="71" xfId="0" applyFont="1" applyFill="1" applyBorder="1" applyAlignment="1">
      <alignment horizontal="center"/>
    </xf>
    <xf numFmtId="0" fontId="19" fillId="0" borderId="0" xfId="0" applyFont="1" applyFill="1" applyBorder="1" applyAlignment="1">
      <alignment horizontal="center" vertical="center"/>
    </xf>
    <xf numFmtId="0" fontId="9" fillId="0" borderId="24" xfId="0" applyFont="1" applyBorder="1" applyAlignment="1">
      <alignment horizontal="right" vertical="center"/>
    </xf>
    <xf numFmtId="0" fontId="9" fillId="0" borderId="59" xfId="0" applyFont="1" applyBorder="1" applyAlignment="1">
      <alignment horizontal="center" vertical="center"/>
    </xf>
    <xf numFmtId="0" fontId="9" fillId="0" borderId="60" xfId="0" applyFont="1" applyBorder="1" applyAlignment="1">
      <alignment horizontal="center" vertical="center"/>
    </xf>
    <xf numFmtId="0" fontId="9" fillId="0" borderId="62" xfId="0" applyFont="1" applyBorder="1" applyAlignment="1">
      <alignment horizontal="center" vertical="center"/>
    </xf>
    <xf numFmtId="0" fontId="5" fillId="5" borderId="77" xfId="0" applyFont="1" applyFill="1" applyBorder="1" applyAlignment="1">
      <alignment horizontal="center" vertical="center" textRotation="90" wrapText="1"/>
    </xf>
    <xf numFmtId="0" fontId="5" fillId="5" borderId="78" xfId="0" applyFont="1" applyFill="1" applyBorder="1" applyAlignment="1">
      <alignment horizontal="center" vertical="center" textRotation="90" wrapText="1"/>
    </xf>
    <xf numFmtId="0" fontId="1" fillId="0" borderId="40" xfId="0" applyFont="1" applyBorder="1"/>
    <xf numFmtId="0" fontId="17" fillId="17" borderId="79" xfId="0" applyFont="1" applyFill="1" applyBorder="1" applyAlignment="1">
      <alignment horizontal="left" vertical="center" wrapText="1"/>
    </xf>
    <xf numFmtId="0" fontId="19" fillId="17" borderId="80" xfId="0" applyFont="1" applyFill="1" applyBorder="1" applyAlignment="1">
      <alignment horizontal="center" vertical="center"/>
    </xf>
    <xf numFmtId="0" fontId="1" fillId="0" borderId="41" xfId="0" applyFont="1" applyFill="1" applyBorder="1" applyAlignment="1">
      <alignment horizontal="center" vertical="center"/>
    </xf>
    <xf numFmtId="0" fontId="1" fillId="0" borderId="42" xfId="0" applyFont="1" applyFill="1" applyBorder="1" applyAlignment="1">
      <alignment horizontal="center" vertical="center"/>
    </xf>
    <xf numFmtId="0" fontId="1" fillId="2" borderId="52" xfId="0" applyFont="1" applyFill="1" applyBorder="1" applyAlignment="1">
      <alignment horizontal="left"/>
    </xf>
    <xf numFmtId="0" fontId="1" fillId="2" borderId="12" xfId="0" applyFont="1" applyFill="1" applyBorder="1" applyAlignment="1">
      <alignment horizontal="left"/>
    </xf>
    <xf numFmtId="0" fontId="1" fillId="0" borderId="12" xfId="0" applyFont="1" applyBorder="1" applyAlignment="1">
      <alignment horizontal="left"/>
    </xf>
    <xf numFmtId="0" fontId="1" fillId="7" borderId="36" xfId="0" applyFont="1" applyFill="1" applyBorder="1" applyAlignment="1">
      <alignment horizontal="left"/>
    </xf>
    <xf numFmtId="0" fontId="1" fillId="0" borderId="13" xfId="0" applyFont="1" applyBorder="1" applyAlignment="1"/>
    <xf numFmtId="0" fontId="1" fillId="0" borderId="42" xfId="0" applyFont="1" applyFill="1" applyBorder="1"/>
    <xf numFmtId="0" fontId="1" fillId="2" borderId="42" xfId="0" applyFont="1" applyFill="1" applyBorder="1"/>
    <xf numFmtId="0" fontId="1" fillId="0" borderId="34" xfId="0" applyFont="1" applyBorder="1" applyAlignment="1">
      <alignment horizontal="left" vertical="center"/>
    </xf>
    <xf numFmtId="0" fontId="1" fillId="0" borderId="10" xfId="0" applyFont="1" applyFill="1" applyBorder="1" applyAlignment="1">
      <alignment horizontal="left" vertical="center"/>
    </xf>
    <xf numFmtId="0" fontId="1" fillId="9" borderId="34" xfId="0" applyFont="1" applyFill="1" applyBorder="1" applyAlignment="1">
      <alignment horizontal="center" vertical="center"/>
    </xf>
    <xf numFmtId="2" fontId="1" fillId="9" borderId="34" xfId="0" applyNumberFormat="1" applyFont="1" applyFill="1" applyBorder="1" applyAlignment="1">
      <alignment horizontal="center" vertical="center"/>
    </xf>
    <xf numFmtId="0" fontId="1" fillId="9" borderId="10" xfId="0" applyFont="1" applyFill="1" applyBorder="1" applyAlignment="1">
      <alignment horizontal="center" vertical="center"/>
    </xf>
    <xf numFmtId="2" fontId="1" fillId="9" borderId="10" xfId="0" applyNumberFormat="1" applyFont="1" applyFill="1" applyBorder="1" applyAlignment="1">
      <alignment horizontal="center" vertical="center"/>
    </xf>
    <xf numFmtId="0" fontId="35" fillId="16" borderId="59" xfId="0" applyFont="1" applyFill="1" applyBorder="1" applyAlignment="1">
      <alignment horizontal="center" vertical="center" wrapText="1"/>
    </xf>
    <xf numFmtId="0" fontId="17" fillId="16" borderId="60" xfId="0" applyFont="1" applyFill="1" applyBorder="1" applyAlignment="1">
      <alignment horizontal="center" vertical="center"/>
    </xf>
    <xf numFmtId="2" fontId="17" fillId="16" borderId="60" xfId="0" applyNumberFormat="1" applyFont="1" applyFill="1" applyBorder="1" applyAlignment="1">
      <alignment horizontal="center" vertical="center"/>
    </xf>
    <xf numFmtId="1" fontId="17" fillId="16" borderId="60" xfId="0" applyNumberFormat="1" applyFont="1" applyFill="1" applyBorder="1" applyAlignment="1">
      <alignment horizontal="center" vertical="center"/>
    </xf>
    <xf numFmtId="0" fontId="17" fillId="16" borderId="62" xfId="0" applyFont="1" applyFill="1" applyBorder="1" applyAlignment="1">
      <alignment horizontal="center" vertical="center"/>
    </xf>
    <xf numFmtId="0" fontId="35" fillId="16" borderId="65" xfId="0" applyFont="1" applyFill="1" applyBorder="1" applyAlignment="1">
      <alignment horizontal="center" vertical="center" wrapText="1"/>
    </xf>
    <xf numFmtId="0" fontId="17" fillId="16" borderId="66" xfId="0" applyFont="1" applyFill="1" applyBorder="1" applyAlignment="1">
      <alignment horizontal="center" vertical="center"/>
    </xf>
    <xf numFmtId="2" fontId="17" fillId="16" borderId="66" xfId="0" applyNumberFormat="1" applyFont="1" applyFill="1" applyBorder="1" applyAlignment="1">
      <alignment horizontal="center" vertical="center"/>
    </xf>
    <xf numFmtId="1" fontId="17" fillId="16" borderId="66" xfId="0" applyNumberFormat="1" applyFont="1" applyFill="1" applyBorder="1" applyAlignment="1">
      <alignment horizontal="center" vertical="center"/>
    </xf>
    <xf numFmtId="0" fontId="17" fillId="16" borderId="67" xfId="0" applyFont="1" applyFill="1" applyBorder="1" applyAlignment="1">
      <alignment horizontal="center" vertical="center"/>
    </xf>
    <xf numFmtId="0" fontId="19" fillId="0" borderId="6" xfId="0" applyFont="1" applyBorder="1" applyAlignment="1">
      <alignment horizontal="center" vertical="center"/>
    </xf>
    <xf numFmtId="0" fontId="19" fillId="18" borderId="6" xfId="0" applyFont="1" applyFill="1" applyBorder="1" applyAlignment="1">
      <alignment horizontal="center" vertical="center"/>
    </xf>
    <xf numFmtId="2" fontId="19" fillId="3" borderId="6" xfId="0" applyNumberFormat="1" applyFont="1" applyFill="1" applyBorder="1" applyAlignment="1">
      <alignment horizontal="center" vertical="center"/>
    </xf>
    <xf numFmtId="1" fontId="19" fillId="0" borderId="6" xfId="0" applyNumberFormat="1" applyFont="1" applyBorder="1" applyAlignment="1">
      <alignment horizontal="center" vertical="center"/>
    </xf>
    <xf numFmtId="0" fontId="19" fillId="3" borderId="6" xfId="0" applyFont="1" applyFill="1" applyBorder="1" applyAlignment="1">
      <alignment horizontal="center" vertical="center"/>
    </xf>
    <xf numFmtId="2" fontId="19" fillId="0" borderId="6" xfId="0" applyNumberFormat="1" applyFont="1" applyBorder="1" applyAlignment="1">
      <alignment horizontal="center" vertical="center"/>
    </xf>
    <xf numFmtId="1" fontId="19" fillId="3" borderId="6" xfId="0" applyNumberFormat="1" applyFont="1" applyFill="1" applyBorder="1" applyAlignment="1">
      <alignment horizontal="center" vertical="center"/>
    </xf>
    <xf numFmtId="0" fontId="19" fillId="21" borderId="6" xfId="0" applyFont="1" applyFill="1" applyBorder="1" applyAlignment="1">
      <alignment horizontal="center" vertical="center"/>
    </xf>
    <xf numFmtId="2" fontId="19" fillId="21" borderId="6" xfId="0" applyNumberFormat="1" applyFont="1" applyFill="1" applyBorder="1" applyAlignment="1">
      <alignment horizontal="center" vertical="center"/>
    </xf>
    <xf numFmtId="0" fontId="17" fillId="0" borderId="78" xfId="0" applyFont="1" applyBorder="1" applyAlignment="1">
      <alignment horizontal="center" vertical="center"/>
    </xf>
    <xf numFmtId="0" fontId="35" fillId="17" borderId="28" xfId="0" applyFont="1" applyFill="1" applyBorder="1" applyAlignment="1">
      <alignment horizontal="center" vertical="center" wrapText="1"/>
    </xf>
    <xf numFmtId="0" fontId="17" fillId="17" borderId="50" xfId="0" applyFont="1" applyFill="1" applyBorder="1" applyAlignment="1">
      <alignment horizontal="left" vertical="center" wrapText="1"/>
    </xf>
    <xf numFmtId="0" fontId="26" fillId="17" borderId="50" xfId="0" applyFont="1" applyFill="1" applyBorder="1" applyAlignment="1">
      <alignment horizontal="left" vertical="center" wrapText="1"/>
    </xf>
    <xf numFmtId="0" fontId="19" fillId="17" borderId="50" xfId="0" applyFont="1" applyFill="1" applyBorder="1" applyAlignment="1">
      <alignment horizontal="center" vertical="center"/>
    </xf>
    <xf numFmtId="2" fontId="19" fillId="17" borderId="50" xfId="0" applyNumberFormat="1" applyFont="1" applyFill="1" applyBorder="1" applyAlignment="1">
      <alignment horizontal="center" vertical="center"/>
    </xf>
    <xf numFmtId="1" fontId="19" fillId="17" borderId="50" xfId="0" applyNumberFormat="1" applyFont="1" applyFill="1" applyBorder="1" applyAlignment="1">
      <alignment horizontal="center" vertical="center"/>
    </xf>
    <xf numFmtId="0" fontId="17" fillId="17" borderId="44" xfId="0" applyFont="1" applyFill="1" applyBorder="1" applyAlignment="1">
      <alignment horizontal="center" vertical="center"/>
    </xf>
    <xf numFmtId="0" fontId="17" fillId="3" borderId="48" xfId="0" applyFont="1" applyFill="1" applyBorder="1" applyAlignment="1">
      <alignment horizontal="center" vertical="center"/>
    </xf>
    <xf numFmtId="0" fontId="48" fillId="12" borderId="28" xfId="4" applyFont="1" applyBorder="1" applyAlignment="1">
      <alignment horizontal="center" vertical="center" wrapText="1"/>
    </xf>
    <xf numFmtId="0" fontId="46" fillId="12" borderId="61" xfId="4" applyFont="1" applyBorder="1" applyAlignment="1">
      <alignment horizontal="left" vertical="center" wrapText="1"/>
    </xf>
    <xf numFmtId="0" fontId="19" fillId="0" borderId="61" xfId="0" applyFont="1" applyBorder="1" applyAlignment="1">
      <alignment horizontal="center" vertical="center"/>
    </xf>
    <xf numFmtId="0" fontId="19" fillId="18" borderId="61" xfId="0" applyFont="1" applyFill="1" applyBorder="1" applyAlignment="1">
      <alignment horizontal="center" vertical="center"/>
    </xf>
    <xf numFmtId="0" fontId="47" fillId="12" borderId="61" xfId="4" applyFont="1" applyBorder="1" applyAlignment="1">
      <alignment horizontal="center" vertical="center"/>
    </xf>
    <xf numFmtId="2" fontId="47" fillId="12" borderId="61" xfId="4" applyNumberFormat="1" applyFont="1" applyBorder="1" applyAlignment="1">
      <alignment horizontal="center" vertical="center"/>
    </xf>
    <xf numFmtId="1" fontId="19" fillId="0" borderId="61" xfId="0" applyNumberFormat="1" applyFont="1" applyBorder="1" applyAlignment="1">
      <alignment horizontal="center" vertical="center"/>
    </xf>
    <xf numFmtId="0" fontId="19" fillId="3" borderId="61" xfId="0" applyFont="1" applyFill="1" applyBorder="1" applyAlignment="1">
      <alignment horizontal="center" vertical="center"/>
    </xf>
    <xf numFmtId="2" fontId="19" fillId="3" borderId="61" xfId="0" applyNumberFormat="1" applyFont="1" applyFill="1" applyBorder="1" applyAlignment="1">
      <alignment horizontal="center" vertical="center"/>
    </xf>
    <xf numFmtId="0" fontId="35" fillId="17" borderId="16" xfId="0" applyFont="1" applyFill="1" applyBorder="1" applyAlignment="1">
      <alignment horizontal="center" vertical="center" wrapText="1"/>
    </xf>
    <xf numFmtId="0" fontId="17" fillId="17" borderId="17" xfId="0" applyFont="1" applyFill="1" applyBorder="1" applyAlignment="1">
      <alignment horizontal="left" vertical="center" wrapText="1"/>
    </xf>
    <xf numFmtId="0" fontId="26" fillId="17" borderId="17" xfId="0" applyFont="1" applyFill="1" applyBorder="1" applyAlignment="1">
      <alignment horizontal="left" vertical="center" wrapText="1"/>
    </xf>
    <xf numFmtId="0" fontId="19" fillId="17" borderId="17" xfId="0" applyFont="1" applyFill="1" applyBorder="1" applyAlignment="1">
      <alignment horizontal="center" vertical="center"/>
    </xf>
    <xf numFmtId="2" fontId="19" fillId="17" borderId="17" xfId="0" applyNumberFormat="1" applyFont="1" applyFill="1" applyBorder="1" applyAlignment="1">
      <alignment horizontal="center" vertical="center"/>
    </xf>
    <xf numFmtId="1" fontId="19" fillId="17" borderId="17" xfId="0" applyNumberFormat="1" applyFont="1" applyFill="1" applyBorder="1" applyAlignment="1">
      <alignment horizontal="center" vertical="center"/>
    </xf>
    <xf numFmtId="0" fontId="17" fillId="17" borderId="18" xfId="0" applyFont="1" applyFill="1" applyBorder="1" applyAlignment="1">
      <alignment horizontal="center" vertical="center"/>
    </xf>
    <xf numFmtId="0" fontId="17" fillId="17" borderId="47" xfId="0" applyFont="1" applyFill="1" applyBorder="1" applyAlignment="1">
      <alignment horizontal="center" vertical="center" wrapText="1"/>
    </xf>
    <xf numFmtId="0" fontId="17" fillId="17" borderId="57" xfId="0" applyFont="1" applyFill="1" applyBorder="1" applyAlignment="1">
      <alignment horizontal="left" vertical="center" wrapText="1"/>
    </xf>
    <xf numFmtId="0" fontId="19" fillId="17" borderId="57" xfId="0" applyFont="1" applyFill="1" applyBorder="1" applyAlignment="1">
      <alignment horizontal="center" vertical="center"/>
    </xf>
    <xf numFmtId="2" fontId="19" fillId="17" borderId="57" xfId="0" applyNumberFormat="1" applyFont="1" applyFill="1" applyBorder="1" applyAlignment="1">
      <alignment horizontal="center" vertical="center"/>
    </xf>
    <xf numFmtId="1" fontId="19" fillId="17" borderId="57" xfId="0" applyNumberFormat="1" applyFont="1" applyFill="1" applyBorder="1" applyAlignment="1">
      <alignment horizontal="center" vertical="center"/>
    </xf>
    <xf numFmtId="0" fontId="19" fillId="17" borderId="58" xfId="0" applyFont="1" applyFill="1" applyBorder="1" applyAlignment="1">
      <alignment horizontal="center" vertical="center"/>
    </xf>
    <xf numFmtId="0" fontId="35" fillId="16" borderId="21" xfId="0" applyFont="1" applyFill="1" applyBorder="1" applyAlignment="1">
      <alignment horizontal="center" vertical="center" wrapText="1"/>
    </xf>
    <xf numFmtId="0" fontId="17" fillId="16" borderId="22" xfId="0" applyFont="1" applyFill="1" applyBorder="1" applyAlignment="1">
      <alignment horizontal="center" vertical="center"/>
    </xf>
    <xf numFmtId="2" fontId="17" fillId="16" borderId="22" xfId="0" applyNumberFormat="1" applyFont="1" applyFill="1" applyBorder="1" applyAlignment="1">
      <alignment horizontal="center" vertical="center"/>
    </xf>
    <xf numFmtId="1" fontId="17" fillId="16" borderId="22" xfId="0" applyNumberFormat="1" applyFont="1" applyFill="1" applyBorder="1" applyAlignment="1">
      <alignment horizontal="center" vertical="center"/>
    </xf>
    <xf numFmtId="0" fontId="17" fillId="16" borderId="23" xfId="0" applyFont="1" applyFill="1" applyBorder="1" applyAlignment="1">
      <alignment horizontal="center" vertical="center"/>
    </xf>
    <xf numFmtId="0" fontId="18" fillId="9" borderId="28" xfId="0" applyFont="1" applyFill="1" applyBorder="1" applyAlignment="1">
      <alignment horizontal="center" vertical="center" wrapText="1"/>
    </xf>
    <xf numFmtId="0" fontId="17" fillId="9" borderId="61" xfId="0" applyFont="1" applyFill="1" applyBorder="1" applyAlignment="1">
      <alignment horizontal="left" vertical="center" wrapText="1"/>
    </xf>
    <xf numFmtId="0" fontId="19" fillId="9" borderId="61" xfId="0" applyFont="1" applyFill="1" applyBorder="1" applyAlignment="1">
      <alignment horizontal="center" vertical="center"/>
    </xf>
    <xf numFmtId="2" fontId="19" fillId="9" borderId="61" xfId="0" applyNumberFormat="1" applyFont="1" applyFill="1" applyBorder="1" applyAlignment="1">
      <alignment horizontal="center" vertical="center"/>
    </xf>
    <xf numFmtId="0" fontId="19" fillId="21" borderId="61" xfId="0" applyFont="1" applyFill="1" applyBorder="1" applyAlignment="1">
      <alignment horizontal="center" vertical="center"/>
    </xf>
    <xf numFmtId="2" fontId="19" fillId="21" borderId="61" xfId="0" applyNumberFormat="1" applyFont="1" applyFill="1" applyBorder="1" applyAlignment="1">
      <alignment horizontal="center" vertical="center"/>
    </xf>
    <xf numFmtId="0" fontId="18" fillId="17" borderId="16" xfId="0" applyFont="1" applyFill="1" applyBorder="1" applyAlignment="1">
      <alignment horizontal="center" vertical="center" wrapText="1"/>
    </xf>
    <xf numFmtId="0" fontId="33" fillId="15" borderId="6" xfId="0" applyFont="1" applyFill="1" applyBorder="1" applyAlignment="1">
      <alignment horizontal="center" vertical="center" textRotation="90" wrapText="1"/>
    </xf>
    <xf numFmtId="0" fontId="33" fillId="15" borderId="1" xfId="0" applyFont="1" applyFill="1" applyBorder="1" applyAlignment="1">
      <alignment horizontal="center" vertical="center" textRotation="90" wrapText="1"/>
    </xf>
    <xf numFmtId="2" fontId="33" fillId="15" borderId="6" xfId="0" applyNumberFormat="1" applyFont="1" applyFill="1" applyBorder="1" applyAlignment="1">
      <alignment horizontal="center" vertical="center" textRotation="90" wrapText="1"/>
    </xf>
    <xf numFmtId="1" fontId="33" fillId="15" borderId="2" xfId="0" applyNumberFormat="1" applyFont="1" applyFill="1" applyBorder="1" applyAlignment="1">
      <alignment horizontal="center" vertical="center" textRotation="90" wrapText="1"/>
    </xf>
    <xf numFmtId="2" fontId="34" fillId="14" borderId="6" xfId="0" applyNumberFormat="1" applyFont="1" applyFill="1" applyBorder="1" applyAlignment="1">
      <alignment horizontal="center" vertical="center" textRotation="90" wrapText="1"/>
    </xf>
    <xf numFmtId="0" fontId="34" fillId="14" borderId="6" xfId="0" applyFont="1" applyFill="1" applyBorder="1" applyAlignment="1">
      <alignment horizontal="center" vertical="center" textRotation="90" wrapText="1"/>
    </xf>
    <xf numFmtId="0" fontId="35" fillId="16" borderId="87" xfId="0" applyFont="1" applyFill="1" applyBorder="1" applyAlignment="1">
      <alignment horizontal="center" vertical="center" wrapText="1"/>
    </xf>
    <xf numFmtId="0" fontId="35" fillId="16" borderId="86" xfId="0" applyFont="1" applyFill="1" applyBorder="1" applyAlignment="1">
      <alignment horizontal="center" vertical="center" wrapText="1"/>
    </xf>
    <xf numFmtId="0" fontId="35" fillId="16" borderId="16" xfId="0" applyFont="1" applyFill="1" applyBorder="1" applyAlignment="1">
      <alignment horizontal="center" vertical="center" wrapText="1"/>
    </xf>
    <xf numFmtId="0" fontId="18" fillId="17" borderId="45" xfId="0" applyFont="1" applyFill="1" applyBorder="1" applyAlignment="1">
      <alignment horizontal="center" vertical="center" wrapText="1"/>
    </xf>
    <xf numFmtId="0" fontId="18" fillId="17" borderId="46" xfId="0" applyFont="1" applyFill="1" applyBorder="1" applyAlignment="1">
      <alignment horizontal="center" vertical="center" wrapText="1"/>
    </xf>
    <xf numFmtId="0" fontId="18" fillId="17" borderId="59" xfId="0" applyFont="1" applyFill="1" applyBorder="1" applyAlignment="1">
      <alignment horizontal="center" vertical="center" wrapText="1"/>
    </xf>
    <xf numFmtId="0" fontId="17" fillId="17" borderId="81" xfId="0" applyFont="1" applyFill="1" applyBorder="1" applyAlignment="1">
      <alignment horizontal="left" vertical="center" wrapText="1"/>
    </xf>
    <xf numFmtId="0" fontId="26" fillId="17" borderId="81" xfId="0" applyFont="1" applyFill="1" applyBorder="1" applyAlignment="1">
      <alignment horizontal="left" vertical="center" wrapText="1"/>
    </xf>
    <xf numFmtId="0" fontId="19" fillId="17" borderId="81" xfId="0" applyFont="1" applyFill="1" applyBorder="1" applyAlignment="1">
      <alignment horizontal="center" vertical="center"/>
    </xf>
    <xf numFmtId="2" fontId="19" fillId="17" borderId="81" xfId="0" applyNumberFormat="1" applyFont="1" applyFill="1" applyBorder="1" applyAlignment="1">
      <alignment horizontal="center" vertical="center"/>
    </xf>
    <xf numFmtId="1" fontId="19" fillId="17" borderId="81" xfId="0" applyNumberFormat="1" applyFont="1" applyFill="1" applyBorder="1" applyAlignment="1">
      <alignment horizontal="center" vertical="center"/>
    </xf>
    <xf numFmtId="0" fontId="17" fillId="17" borderId="53" xfId="0" applyFont="1" applyFill="1" applyBorder="1" applyAlignment="1">
      <alignment horizontal="center" vertical="center"/>
    </xf>
    <xf numFmtId="0" fontId="17" fillId="23" borderId="69" xfId="0" applyFont="1" applyFill="1" applyBorder="1" applyAlignment="1">
      <alignment horizontal="left" vertical="center" wrapText="1"/>
    </xf>
    <xf numFmtId="0" fontId="19" fillId="8" borderId="22" xfId="0" applyFont="1" applyFill="1" applyBorder="1" applyAlignment="1">
      <alignment horizontal="center" vertical="center"/>
    </xf>
    <xf numFmtId="2" fontId="19" fillId="8" borderId="22" xfId="0" applyNumberFormat="1" applyFont="1" applyFill="1" applyBorder="1" applyAlignment="1">
      <alignment horizontal="center" vertical="center"/>
    </xf>
    <xf numFmtId="0" fontId="36" fillId="9" borderId="66" xfId="0" applyFont="1" applyFill="1" applyBorder="1" applyAlignment="1">
      <alignment horizontal="center" vertical="center"/>
    </xf>
    <xf numFmtId="0" fontId="18" fillId="17" borderId="93" xfId="0" applyFont="1" applyFill="1" applyBorder="1" applyAlignment="1">
      <alignment horizontal="center" vertical="center" wrapText="1"/>
    </xf>
    <xf numFmtId="0" fontId="17" fillId="17" borderId="94" xfId="0" applyFont="1" applyFill="1" applyBorder="1" applyAlignment="1">
      <alignment horizontal="center" vertical="center"/>
    </xf>
    <xf numFmtId="0" fontId="17" fillId="23" borderId="22" xfId="0" applyFont="1" applyFill="1" applyBorder="1" applyAlignment="1">
      <alignment horizontal="left" vertical="center" wrapText="1"/>
    </xf>
    <xf numFmtId="0" fontId="19" fillId="0" borderId="22" xfId="0" applyFont="1" applyBorder="1" applyAlignment="1">
      <alignment horizontal="left" vertical="center" wrapText="1"/>
    </xf>
    <xf numFmtId="0" fontId="18" fillId="0" borderId="77" xfId="0" applyFont="1" applyBorder="1" applyAlignment="1">
      <alignment horizontal="center" vertical="center" wrapText="1"/>
    </xf>
    <xf numFmtId="0" fontId="17" fillId="3" borderId="78" xfId="0" applyFont="1" applyFill="1" applyBorder="1" applyAlignment="1">
      <alignment horizontal="center" vertical="center"/>
    </xf>
    <xf numFmtId="0" fontId="18" fillId="17" borderId="28" xfId="0" applyFont="1" applyFill="1" applyBorder="1" applyAlignment="1">
      <alignment horizontal="center" vertical="center" wrapText="1"/>
    </xf>
    <xf numFmtId="0" fontId="19" fillId="8" borderId="60" xfId="0" applyFont="1" applyFill="1" applyBorder="1" applyAlignment="1">
      <alignment horizontal="center" vertical="center"/>
    </xf>
    <xf numFmtId="2" fontId="19" fillId="8" borderId="60" xfId="0" applyNumberFormat="1" applyFont="1" applyFill="1" applyBorder="1" applyAlignment="1">
      <alignment horizontal="center" vertical="center"/>
    </xf>
    <xf numFmtId="0" fontId="19" fillId="8" borderId="66" xfId="0" applyFont="1" applyFill="1" applyBorder="1" applyAlignment="1">
      <alignment horizontal="center" vertical="center"/>
    </xf>
    <xf numFmtId="2" fontId="19" fillId="8" borderId="66" xfId="0" applyNumberFormat="1" applyFont="1" applyFill="1" applyBorder="1" applyAlignment="1">
      <alignment horizontal="center" vertical="center"/>
    </xf>
    <xf numFmtId="0" fontId="1" fillId="0" borderId="41" xfId="0" applyFont="1" applyBorder="1" applyAlignment="1">
      <alignment horizontal="center"/>
    </xf>
    <xf numFmtId="0" fontId="1" fillId="0" borderId="10" xfId="0" applyFont="1" applyBorder="1" applyAlignment="1">
      <alignment horizontal="center"/>
    </xf>
    <xf numFmtId="0" fontId="1" fillId="0" borderId="32" xfId="0" applyFont="1" applyBorder="1" applyAlignment="1">
      <alignment horizontal="center"/>
    </xf>
    <xf numFmtId="0" fontId="1" fillId="0" borderId="43" xfId="0" applyFont="1" applyBorder="1" applyAlignment="1">
      <alignment horizontal="left" vertical="center" wrapText="1"/>
    </xf>
    <xf numFmtId="0" fontId="1" fillId="0" borderId="47" xfId="0" applyFont="1" applyBorder="1" applyAlignment="1">
      <alignment horizontal="left" vertical="center" wrapText="1"/>
    </xf>
    <xf numFmtId="0" fontId="2" fillId="0" borderId="43" xfId="0" applyFont="1" applyBorder="1" applyAlignment="1">
      <alignment horizontal="left" vertical="center" wrapText="1"/>
    </xf>
    <xf numFmtId="0" fontId="2" fillId="0" borderId="47" xfId="0" applyFont="1" applyBorder="1" applyAlignment="1">
      <alignment horizontal="left" vertical="center" wrapText="1"/>
    </xf>
    <xf numFmtId="0" fontId="2" fillId="2" borderId="21" xfId="0" applyFont="1" applyFill="1" applyBorder="1" applyAlignment="1">
      <alignment horizontal="center" vertical="center" wrapText="1"/>
    </xf>
    <xf numFmtId="0" fontId="2" fillId="2" borderId="22" xfId="0" applyFont="1" applyFill="1" applyBorder="1" applyAlignment="1">
      <alignment horizontal="center" vertical="center" wrapText="1"/>
    </xf>
    <xf numFmtId="0" fontId="2" fillId="2" borderId="23" xfId="0" applyFont="1" applyFill="1" applyBorder="1" applyAlignment="1">
      <alignment horizontal="center" vertical="center" wrapText="1"/>
    </xf>
    <xf numFmtId="0" fontId="12" fillId="0" borderId="73" xfId="0" applyFont="1" applyBorder="1" applyAlignment="1">
      <alignment horizontal="left" vertical="center"/>
    </xf>
    <xf numFmtId="0" fontId="2" fillId="0" borderId="5" xfId="0" applyFont="1" applyBorder="1" applyAlignment="1">
      <alignment horizontal="left" vertical="center"/>
    </xf>
    <xf numFmtId="0" fontId="2" fillId="0" borderId="74" xfId="0" applyFont="1" applyBorder="1" applyAlignment="1">
      <alignment horizontal="left" vertical="center"/>
    </xf>
    <xf numFmtId="0" fontId="6" fillId="4" borderId="6"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8" fillId="0" borderId="28" xfId="0" applyFont="1" applyBorder="1" applyAlignment="1">
      <alignment horizontal="center" vertical="center"/>
    </xf>
    <xf numFmtId="0" fontId="8" fillId="0" borderId="31" xfId="0" applyFont="1" applyBorder="1" applyAlignment="1">
      <alignment horizontal="center" vertical="center"/>
    </xf>
    <xf numFmtId="0" fontId="8" fillId="0" borderId="33" xfId="0" applyFont="1" applyBorder="1" applyAlignment="1">
      <alignment horizontal="center" vertical="center"/>
    </xf>
    <xf numFmtId="0" fontId="8" fillId="0" borderId="27" xfId="0" applyFont="1" applyBorder="1" applyAlignment="1">
      <alignment horizontal="center" vertical="center"/>
    </xf>
    <xf numFmtId="0" fontId="8" fillId="0" borderId="38" xfId="0" applyFont="1" applyBorder="1" applyAlignment="1">
      <alignment horizontal="center" vertical="center"/>
    </xf>
    <xf numFmtId="0" fontId="2" fillId="7" borderId="0" xfId="0" applyFont="1" applyFill="1" applyBorder="1" applyAlignment="1">
      <alignment horizontal="center" vertical="center"/>
    </xf>
    <xf numFmtId="0" fontId="2" fillId="7" borderId="46" xfId="0" applyFont="1" applyFill="1" applyBorder="1" applyAlignment="1">
      <alignment horizontal="center" vertical="center"/>
    </xf>
    <xf numFmtId="0" fontId="8" fillId="0" borderId="43" xfId="0" applyFont="1" applyBorder="1" applyAlignment="1">
      <alignment horizontal="center" vertical="center"/>
    </xf>
    <xf numFmtId="0" fontId="8" fillId="0" borderId="47" xfId="0" applyFont="1" applyBorder="1" applyAlignment="1">
      <alignment horizontal="center" vertical="center"/>
    </xf>
    <xf numFmtId="0" fontId="8" fillId="0" borderId="45" xfId="0" applyFont="1" applyBorder="1" applyAlignment="1">
      <alignment horizontal="center" vertical="center"/>
    </xf>
    <xf numFmtId="0" fontId="1" fillId="0" borderId="45" xfId="0" applyFont="1" applyBorder="1" applyAlignment="1">
      <alignment horizontal="left" vertical="center" wrapText="1"/>
    </xf>
    <xf numFmtId="0" fontId="1" fillId="0" borderId="75" xfId="0" applyFont="1" applyBorder="1" applyAlignment="1">
      <alignment horizontal="left" vertical="center" wrapText="1"/>
    </xf>
    <xf numFmtId="0" fontId="1" fillId="0" borderId="76" xfId="0" applyFont="1" applyBorder="1" applyAlignment="1">
      <alignment horizontal="left" vertical="center" wrapText="1"/>
    </xf>
    <xf numFmtId="0" fontId="8" fillId="8" borderId="43" xfId="0" applyFont="1" applyFill="1" applyBorder="1" applyAlignment="1">
      <alignment horizontal="center" vertical="center"/>
    </xf>
    <xf numFmtId="0" fontId="8" fillId="8" borderId="47" xfId="0" applyFont="1" applyFill="1" applyBorder="1" applyAlignment="1">
      <alignment horizontal="center" vertical="center"/>
    </xf>
    <xf numFmtId="0" fontId="8" fillId="0" borderId="43" xfId="0" applyFont="1" applyBorder="1" applyAlignment="1">
      <alignment horizontal="center" vertical="center" wrapText="1"/>
    </xf>
    <xf numFmtId="0" fontId="8" fillId="0" borderId="45" xfId="0" applyFont="1" applyBorder="1" applyAlignment="1">
      <alignment horizontal="center" vertical="center" wrapText="1"/>
    </xf>
    <xf numFmtId="0" fontId="8" fillId="0" borderId="47" xfId="0" applyFont="1" applyBorder="1" applyAlignment="1">
      <alignment horizontal="center" vertical="center" wrapText="1"/>
    </xf>
    <xf numFmtId="0" fontId="1" fillId="0" borderId="41" xfId="0" applyFont="1" applyFill="1" applyBorder="1" applyAlignment="1">
      <alignment horizontal="center" vertical="center"/>
    </xf>
    <xf numFmtId="0" fontId="1" fillId="0" borderId="10" xfId="0" applyFont="1" applyFill="1" applyBorder="1" applyAlignment="1">
      <alignment horizontal="center" vertical="center"/>
    </xf>
    <xf numFmtId="0" fontId="1" fillId="0" borderId="32" xfId="0" applyFont="1" applyFill="1" applyBorder="1" applyAlignment="1">
      <alignment horizontal="center" vertical="center"/>
    </xf>
    <xf numFmtId="0" fontId="8" fillId="0" borderId="27" xfId="0" applyFont="1" applyBorder="1" applyAlignment="1">
      <alignment horizontal="center" vertical="center" wrapText="1"/>
    </xf>
    <xf numFmtId="0" fontId="8" fillId="0" borderId="38" xfId="0" applyFont="1" applyBorder="1" applyAlignment="1">
      <alignment horizontal="center" vertical="center" wrapText="1"/>
    </xf>
    <xf numFmtId="0" fontId="1" fillId="0" borderId="43" xfId="0" applyFont="1" applyFill="1" applyBorder="1" applyAlignment="1">
      <alignment horizontal="left" vertical="center" wrapText="1"/>
    </xf>
    <xf numFmtId="0" fontId="1" fillId="0" borderId="47" xfId="0" applyFont="1" applyFill="1" applyBorder="1" applyAlignment="1">
      <alignment horizontal="left" vertical="center" wrapText="1"/>
    </xf>
    <xf numFmtId="0" fontId="1" fillId="0" borderId="75" xfId="0" applyFont="1" applyFill="1" applyBorder="1" applyAlignment="1">
      <alignment horizontal="left" vertical="center"/>
    </xf>
    <xf numFmtId="0" fontId="1" fillId="0" borderId="76" xfId="0" applyFont="1" applyFill="1" applyBorder="1" applyAlignment="1">
      <alignment horizontal="left" vertical="center"/>
    </xf>
    <xf numFmtId="0" fontId="7" fillId="0" borderId="43" xfId="0" applyFont="1" applyBorder="1" applyAlignment="1">
      <alignment horizontal="center" vertical="center" wrapText="1"/>
    </xf>
    <xf numFmtId="0" fontId="7" fillId="0" borderId="45" xfId="0" applyFont="1" applyBorder="1" applyAlignment="1">
      <alignment horizontal="center" vertical="center" wrapText="1"/>
    </xf>
    <xf numFmtId="0" fontId="7" fillId="0" borderId="47" xfId="0" applyFont="1" applyBorder="1" applyAlignment="1">
      <alignment horizontal="center" vertical="center" wrapText="1"/>
    </xf>
    <xf numFmtId="0" fontId="2" fillId="0" borderId="75" xfId="0" applyFont="1" applyBorder="1" applyAlignment="1">
      <alignment horizontal="left" vertical="center" wrapText="1"/>
    </xf>
    <xf numFmtId="0" fontId="2" fillId="0" borderId="82" xfId="0" applyFont="1" applyBorder="1" applyAlignment="1">
      <alignment horizontal="left" vertical="center" wrapText="1"/>
    </xf>
    <xf numFmtId="0" fontId="1" fillId="0" borderId="82" xfId="0" applyFont="1" applyBorder="1" applyAlignment="1">
      <alignment horizontal="left" vertical="center" wrapText="1"/>
    </xf>
    <xf numFmtId="0" fontId="7" fillId="8" borderId="27" xfId="0" applyFont="1" applyFill="1" applyBorder="1" applyAlignment="1">
      <alignment horizontal="center" vertical="center" wrapText="1"/>
    </xf>
    <xf numFmtId="0" fontId="7" fillId="8" borderId="37" xfId="0" applyFont="1" applyFill="1" applyBorder="1" applyAlignment="1">
      <alignment horizontal="center" vertical="center" wrapText="1"/>
    </xf>
    <xf numFmtId="0" fontId="7" fillId="8" borderId="38" xfId="0" applyFont="1" applyFill="1" applyBorder="1" applyAlignment="1">
      <alignment horizontal="center" vertical="center" wrapText="1"/>
    </xf>
    <xf numFmtId="0" fontId="1" fillId="0" borderId="27" xfId="0" applyFont="1" applyBorder="1" applyAlignment="1">
      <alignment horizontal="left" vertical="center" wrapText="1"/>
    </xf>
    <xf numFmtId="0" fontId="1" fillId="0" borderId="37" xfId="0" applyFont="1" applyBorder="1" applyAlignment="1">
      <alignment horizontal="left" vertical="center" wrapText="1"/>
    </xf>
    <xf numFmtId="0" fontId="1" fillId="0" borderId="38" xfId="0" applyFont="1" applyBorder="1" applyAlignment="1">
      <alignment horizontal="left" vertical="center" wrapText="1"/>
    </xf>
    <xf numFmtId="0" fontId="1" fillId="0" borderId="11" xfId="0" applyFont="1" applyBorder="1" applyAlignment="1">
      <alignment horizontal="center"/>
    </xf>
    <xf numFmtId="0" fontId="2" fillId="0" borderId="0" xfId="0" applyFont="1" applyFill="1" applyBorder="1" applyAlignment="1">
      <alignment horizontal="center" wrapText="1"/>
    </xf>
    <xf numFmtId="0" fontId="2" fillId="7" borderId="16" xfId="0" applyFont="1" applyFill="1" applyBorder="1" applyAlignment="1">
      <alignment horizontal="center" vertical="center"/>
    </xf>
    <xf numFmtId="0" fontId="2" fillId="7" borderId="17" xfId="0" applyFont="1" applyFill="1" applyBorder="1" applyAlignment="1">
      <alignment horizontal="center" vertical="center"/>
    </xf>
    <xf numFmtId="0" fontId="2" fillId="7" borderId="18" xfId="0" applyFont="1" applyFill="1" applyBorder="1" applyAlignment="1">
      <alignment horizontal="center" vertical="center"/>
    </xf>
    <xf numFmtId="0" fontId="7" fillId="0" borderId="43" xfId="0" applyFont="1" applyFill="1" applyBorder="1" applyAlignment="1">
      <alignment horizontal="center" vertical="center" wrapText="1"/>
    </xf>
    <xf numFmtId="0" fontId="7" fillId="0" borderId="45" xfId="0" applyFont="1" applyFill="1" applyBorder="1" applyAlignment="1">
      <alignment horizontal="center" vertical="center" wrapText="1"/>
    </xf>
    <xf numFmtId="0" fontId="7" fillId="0" borderId="47" xfId="0" applyFont="1" applyFill="1" applyBorder="1" applyAlignment="1">
      <alignment horizontal="center" vertical="center" wrapText="1"/>
    </xf>
    <xf numFmtId="0" fontId="12" fillId="0" borderId="43" xfId="0" applyFont="1" applyBorder="1" applyAlignment="1">
      <alignment horizontal="left" vertical="center" wrapText="1"/>
    </xf>
    <xf numFmtId="0" fontId="12" fillId="0" borderId="45" xfId="0" applyFont="1" applyBorder="1" applyAlignment="1">
      <alignment horizontal="left" vertical="center" wrapText="1"/>
    </xf>
    <xf numFmtId="0" fontId="12" fillId="0" borderId="47" xfId="0" applyFont="1" applyBorder="1" applyAlignment="1">
      <alignment horizontal="left" vertical="center" wrapText="1"/>
    </xf>
    <xf numFmtId="0" fontId="1" fillId="0" borderId="43" xfId="0" applyFont="1" applyBorder="1" applyAlignment="1">
      <alignment horizontal="left" vertical="top" wrapText="1"/>
    </xf>
    <xf numFmtId="0" fontId="1" fillId="0" borderId="45" xfId="0" applyFont="1" applyBorder="1" applyAlignment="1">
      <alignment horizontal="left" vertical="top" wrapText="1"/>
    </xf>
    <xf numFmtId="0" fontId="1" fillId="0" borderId="47" xfId="0" applyFont="1" applyBorder="1" applyAlignment="1">
      <alignment horizontal="left" vertical="top" wrapText="1"/>
    </xf>
    <xf numFmtId="0" fontId="7" fillId="0" borderId="27" xfId="0" applyFont="1" applyBorder="1" applyAlignment="1">
      <alignment horizontal="center" vertical="center" wrapText="1"/>
    </xf>
    <xf numFmtId="0" fontId="7" fillId="0" borderId="37" xfId="0" applyFont="1" applyBorder="1" applyAlignment="1">
      <alignment horizontal="center" vertical="center" wrapText="1"/>
    </xf>
    <xf numFmtId="0" fontId="7" fillId="0" borderId="38" xfId="0" applyFont="1" applyBorder="1" applyAlignment="1">
      <alignment horizontal="center" vertical="center" wrapText="1"/>
    </xf>
    <xf numFmtId="0" fontId="7" fillId="8" borderId="43" xfId="0" applyFont="1" applyFill="1" applyBorder="1" applyAlignment="1">
      <alignment horizontal="center" vertical="center" wrapText="1"/>
    </xf>
    <xf numFmtId="0" fontId="7" fillId="8" borderId="45" xfId="0" applyFont="1" applyFill="1" applyBorder="1" applyAlignment="1">
      <alignment horizontal="center" vertical="center" wrapText="1"/>
    </xf>
    <xf numFmtId="0" fontId="7" fillId="8" borderId="47" xfId="0" applyFont="1" applyFill="1" applyBorder="1" applyAlignment="1">
      <alignment horizontal="center" vertical="center" wrapText="1"/>
    </xf>
    <xf numFmtId="0" fontId="1" fillId="8" borderId="43" xfId="0" applyFont="1" applyFill="1" applyBorder="1" applyAlignment="1">
      <alignment horizontal="left" vertical="center" wrapText="1"/>
    </xf>
    <xf numFmtId="0" fontId="1" fillId="8" borderId="45" xfId="0" applyFont="1" applyFill="1" applyBorder="1" applyAlignment="1">
      <alignment horizontal="left" vertical="center" wrapText="1"/>
    </xf>
    <xf numFmtId="0" fontId="1" fillId="8" borderId="47" xfId="0" applyFont="1" applyFill="1" applyBorder="1" applyAlignment="1">
      <alignment horizontal="left" vertical="center" wrapText="1"/>
    </xf>
    <xf numFmtId="0" fontId="2" fillId="0" borderId="84" xfId="0" applyFont="1" applyBorder="1" applyAlignment="1">
      <alignment horizontal="left" vertical="center" wrapText="1"/>
    </xf>
    <xf numFmtId="0" fontId="1" fillId="0" borderId="83" xfId="0" applyFont="1" applyBorder="1" applyAlignment="1">
      <alignment horizontal="left" vertical="center" wrapText="1"/>
    </xf>
    <xf numFmtId="0" fontId="6" fillId="6" borderId="43" xfId="0" applyFont="1" applyFill="1" applyBorder="1" applyAlignment="1">
      <alignment horizontal="center" vertical="center" wrapText="1"/>
    </xf>
    <xf numFmtId="0" fontId="6" fillId="6" borderId="50" xfId="0" applyFont="1" applyFill="1" applyBorder="1" applyAlignment="1">
      <alignment horizontal="center" vertical="center" wrapText="1"/>
    </xf>
    <xf numFmtId="0" fontId="6" fillId="6" borderId="45" xfId="0" applyFont="1" applyFill="1" applyBorder="1" applyAlignment="1">
      <alignment horizontal="center" vertical="center" wrapText="1"/>
    </xf>
    <xf numFmtId="0" fontId="6" fillId="6" borderId="0" xfId="0" applyFont="1" applyFill="1" applyBorder="1" applyAlignment="1">
      <alignment horizontal="center" vertical="center" wrapText="1"/>
    </xf>
    <xf numFmtId="0" fontId="1" fillId="0" borderId="85" xfId="0" applyFont="1" applyBorder="1" applyAlignment="1">
      <alignment horizontal="center"/>
    </xf>
    <xf numFmtId="0" fontId="1" fillId="0" borderId="19" xfId="0" applyFont="1" applyBorder="1" applyAlignment="1">
      <alignment horizontal="center"/>
    </xf>
    <xf numFmtId="0" fontId="1" fillId="0" borderId="49" xfId="0" applyFont="1" applyBorder="1" applyAlignment="1">
      <alignment horizontal="center"/>
    </xf>
    <xf numFmtId="0" fontId="8" fillId="2" borderId="21" xfId="0" applyFont="1" applyFill="1" applyBorder="1" applyAlignment="1">
      <alignment horizontal="center" vertical="center" wrapText="1"/>
    </xf>
    <xf numFmtId="0" fontId="8" fillId="2" borderId="22" xfId="0" applyFont="1" applyFill="1" applyBorder="1" applyAlignment="1">
      <alignment horizontal="center" vertical="center" wrapText="1"/>
    </xf>
    <xf numFmtId="0" fontId="8" fillId="2" borderId="23" xfId="0" applyFont="1" applyFill="1" applyBorder="1" applyAlignment="1">
      <alignment horizontal="center" vertical="center" wrapText="1"/>
    </xf>
    <xf numFmtId="0" fontId="26" fillId="0" borderId="6" xfId="0" applyFont="1" applyBorder="1" applyAlignment="1">
      <alignment horizontal="left" vertical="center" wrapText="1"/>
    </xf>
    <xf numFmtId="0" fontId="26" fillId="0" borderId="8" xfId="0" applyFont="1" applyBorder="1" applyAlignment="1">
      <alignment horizontal="left" vertical="center" wrapText="1"/>
    </xf>
    <xf numFmtId="0" fontId="8" fillId="7" borderId="47" xfId="0" applyFont="1" applyFill="1" applyBorder="1" applyAlignment="1">
      <alignment horizontal="center" vertical="center"/>
    </xf>
    <xf numFmtId="0" fontId="8" fillId="7" borderId="57" xfId="0" applyFont="1" applyFill="1" applyBorder="1" applyAlignment="1">
      <alignment horizontal="center" vertical="center"/>
    </xf>
    <xf numFmtId="0" fontId="38" fillId="20" borderId="0" xfId="0" applyFont="1" applyFill="1" applyAlignment="1">
      <alignment horizontal="left" wrapText="1"/>
    </xf>
    <xf numFmtId="0" fontId="18" fillId="17" borderId="24" xfId="0" applyFont="1" applyFill="1" applyBorder="1" applyAlignment="1">
      <alignment horizontal="center" vertical="center" wrapText="1"/>
    </xf>
    <xf numFmtId="0" fontId="18" fillId="17" borderId="15" xfId="0" applyFont="1" applyFill="1" applyBorder="1" applyAlignment="1">
      <alignment horizontal="center" vertical="center" wrapText="1"/>
    </xf>
    <xf numFmtId="0" fontId="24" fillId="13" borderId="0" xfId="0" applyFont="1" applyFill="1" applyAlignment="1">
      <alignment horizontal="left" vertical="center"/>
    </xf>
    <xf numFmtId="0" fontId="27" fillId="13" borderId="0" xfId="0" applyFont="1" applyFill="1" applyAlignment="1">
      <alignment horizontal="left" vertical="center"/>
    </xf>
    <xf numFmtId="0" fontId="31" fillId="9" borderId="0" xfId="0" applyFont="1" applyFill="1" applyAlignment="1">
      <alignment horizontal="left" vertical="center" wrapText="1"/>
    </xf>
    <xf numFmtId="0" fontId="32" fillId="14" borderId="0" xfId="0" applyFont="1" applyFill="1" applyBorder="1" applyAlignment="1">
      <alignment horizontal="center" vertical="center" wrapText="1"/>
    </xf>
    <xf numFmtId="0" fontId="32" fillId="14" borderId="4" xfId="0" applyFont="1" applyFill="1" applyBorder="1" applyAlignment="1">
      <alignment horizontal="center" vertical="center" wrapText="1"/>
    </xf>
    <xf numFmtId="0" fontId="32" fillId="0" borderId="0" xfId="0" applyFont="1" applyBorder="1" applyAlignment="1">
      <alignment horizontal="center" wrapText="1"/>
    </xf>
    <xf numFmtId="0" fontId="32" fillId="0" borderId="4" xfId="0" applyFont="1" applyBorder="1" applyAlignment="1">
      <alignment horizontal="center" wrapText="1"/>
    </xf>
    <xf numFmtId="0" fontId="33" fillId="15" borderId="24" xfId="0" applyFont="1" applyFill="1" applyBorder="1" applyAlignment="1">
      <alignment horizontal="center" vertical="center" textRotation="90" wrapText="1"/>
    </xf>
    <xf numFmtId="0" fontId="33" fillId="15" borderId="15" xfId="0" applyFont="1" applyFill="1" applyBorder="1" applyAlignment="1">
      <alignment horizontal="center" vertical="center" textRotation="90" wrapText="1"/>
    </xf>
    <xf numFmtId="0" fontId="33" fillId="15" borderId="25" xfId="0" applyFont="1" applyFill="1" applyBorder="1" applyAlignment="1">
      <alignment horizontal="center" vertical="center" textRotation="90" wrapText="1"/>
    </xf>
    <xf numFmtId="0" fontId="17" fillId="16" borderId="9" xfId="0" applyFont="1" applyFill="1" applyBorder="1" applyAlignment="1">
      <alignment horizontal="center" vertical="center" wrapText="1"/>
    </xf>
    <xf numFmtId="0" fontId="18" fillId="3" borderId="59" xfId="0" applyFont="1" applyFill="1" applyBorder="1" applyAlignment="1">
      <alignment horizontal="center" vertical="center" wrapText="1"/>
    </xf>
    <xf numFmtId="0" fontId="18" fillId="3" borderId="65" xfId="0" applyFont="1" applyFill="1" applyBorder="1" applyAlignment="1">
      <alignment horizontal="center" vertical="center" wrapText="1"/>
    </xf>
    <xf numFmtId="0" fontId="17" fillId="3" borderId="61" xfId="0" applyFont="1" applyFill="1" applyBorder="1" applyAlignment="1">
      <alignment horizontal="left" vertical="center" wrapText="1"/>
    </xf>
    <xf numFmtId="0" fontId="17" fillId="3" borderId="70" xfId="0" applyFont="1" applyFill="1" applyBorder="1" applyAlignment="1">
      <alignment horizontal="left" vertical="center" wrapText="1"/>
    </xf>
    <xf numFmtId="0" fontId="26" fillId="0" borderId="60" xfId="0" applyFont="1" applyBorder="1" applyAlignment="1">
      <alignment horizontal="left" vertical="center" wrapText="1"/>
    </xf>
    <xf numFmtId="0" fontId="26" fillId="0" borderId="66" xfId="0" applyFont="1" applyBorder="1" applyAlignment="1">
      <alignment horizontal="left" vertical="center" wrapText="1"/>
    </xf>
    <xf numFmtId="0" fontId="27" fillId="13" borderId="24" xfId="0" applyFont="1" applyFill="1" applyBorder="1" applyAlignment="1">
      <alignment horizontal="right" vertical="center"/>
    </xf>
    <xf numFmtId="0" fontId="27" fillId="13" borderId="15" xfId="0" applyFont="1" applyFill="1" applyBorder="1" applyAlignment="1">
      <alignment horizontal="right" vertical="center"/>
    </xf>
    <xf numFmtId="0" fontId="27" fillId="13" borderId="25" xfId="0" applyFont="1" applyFill="1" applyBorder="1" applyAlignment="1">
      <alignment horizontal="right" vertical="center"/>
    </xf>
    <xf numFmtId="0" fontId="32" fillId="0" borderId="0" xfId="0" applyFont="1" applyAlignment="1">
      <alignment horizontal="center" vertical="center" wrapText="1"/>
    </xf>
    <xf numFmtId="0" fontId="18" fillId="17" borderId="5" xfId="0" applyFont="1" applyFill="1" applyBorder="1" applyAlignment="1">
      <alignment horizontal="center" vertical="center" wrapText="1"/>
    </xf>
    <xf numFmtId="0" fontId="18" fillId="17" borderId="0" xfId="0" applyFont="1" applyFill="1" applyAlignment="1">
      <alignment horizontal="center" vertical="center" wrapText="1"/>
    </xf>
    <xf numFmtId="0" fontId="18" fillId="0" borderId="9" xfId="0" applyFont="1" applyBorder="1" applyAlignment="1">
      <alignment horizontal="center" vertical="center" wrapText="1"/>
    </xf>
    <xf numFmtId="0" fontId="17" fillId="3" borderId="9" xfId="0" applyFont="1" applyFill="1" applyBorder="1" applyAlignment="1">
      <alignment horizontal="left" vertical="center" wrapText="1"/>
    </xf>
    <xf numFmtId="0" fontId="37" fillId="19" borderId="5" xfId="0" applyFont="1" applyFill="1" applyBorder="1" applyAlignment="1">
      <alignment horizontal="left" vertical="center"/>
    </xf>
    <xf numFmtId="0" fontId="37" fillId="19" borderId="0" xfId="0" applyFont="1" applyFill="1" applyAlignment="1">
      <alignment horizontal="left" vertical="center"/>
    </xf>
    <xf numFmtId="0" fontId="18" fillId="3" borderId="9" xfId="0" applyFont="1" applyFill="1" applyBorder="1" applyAlignment="1">
      <alignment horizontal="center" vertical="center" wrapText="1"/>
    </xf>
    <xf numFmtId="0" fontId="18" fillId="0" borderId="6" xfId="0" applyFont="1" applyBorder="1" applyAlignment="1">
      <alignment horizontal="center" vertical="center" wrapText="1"/>
    </xf>
    <xf numFmtId="0" fontId="18" fillId="0" borderId="8" xfId="0" applyFont="1" applyBorder="1" applyAlignment="1">
      <alignment horizontal="center" vertical="center" wrapText="1"/>
    </xf>
    <xf numFmtId="0" fontId="17" fillId="3" borderId="6" xfId="0" applyFont="1" applyFill="1" applyBorder="1" applyAlignment="1">
      <alignment horizontal="left" vertical="center" wrapText="1"/>
    </xf>
    <xf numFmtId="0" fontId="17" fillId="3" borderId="8" xfId="0" applyFont="1" applyFill="1" applyBorder="1" applyAlignment="1">
      <alignment horizontal="left" vertical="center" wrapText="1"/>
    </xf>
    <xf numFmtId="0" fontId="8" fillId="0" borderId="37" xfId="0" applyFont="1" applyBorder="1" applyAlignment="1">
      <alignment horizontal="center" vertical="center" wrapText="1"/>
    </xf>
    <xf numFmtId="0" fontId="18" fillId="17" borderId="0" xfId="0" applyFont="1" applyFill="1" applyBorder="1" applyAlignment="1">
      <alignment horizontal="center" vertical="center" wrapText="1"/>
    </xf>
    <xf numFmtId="0" fontId="1" fillId="0" borderId="43" xfId="0" applyFont="1" applyBorder="1" applyAlignment="1">
      <alignment horizontal="center" vertical="center" wrapText="1"/>
    </xf>
    <xf numFmtId="0" fontId="1" fillId="0" borderId="44" xfId="0" applyFont="1" applyBorder="1" applyAlignment="1">
      <alignment horizontal="center" vertical="center" wrapText="1"/>
    </xf>
    <xf numFmtId="0" fontId="1" fillId="0" borderId="45" xfId="0" applyFont="1" applyBorder="1" applyAlignment="1">
      <alignment horizontal="center" vertical="center" wrapText="1"/>
    </xf>
    <xf numFmtId="0" fontId="1" fillId="0" borderId="46" xfId="0" applyFont="1" applyBorder="1" applyAlignment="1">
      <alignment horizontal="center" vertical="center" wrapText="1"/>
    </xf>
    <xf numFmtId="0" fontId="1" fillId="0" borderId="47" xfId="0" applyFont="1" applyBorder="1" applyAlignment="1">
      <alignment horizontal="center" vertical="center" wrapText="1"/>
    </xf>
    <xf numFmtId="0" fontId="1" fillId="0" borderId="58" xfId="0" applyFont="1" applyBorder="1" applyAlignment="1">
      <alignment horizontal="center" vertical="center" wrapText="1"/>
    </xf>
    <xf numFmtId="0" fontId="18" fillId="17" borderId="1" xfId="0" applyFont="1" applyFill="1" applyBorder="1" applyAlignment="1">
      <alignment horizontal="center" vertical="center" wrapText="1"/>
    </xf>
    <xf numFmtId="0" fontId="18" fillId="17" borderId="68" xfId="0" applyFont="1" applyFill="1" applyBorder="1" applyAlignment="1">
      <alignment horizontal="center" vertical="center" wrapText="1"/>
    </xf>
    <xf numFmtId="0" fontId="24" fillId="13" borderId="0" xfId="0" applyFont="1" applyFill="1" applyAlignment="1">
      <alignment horizontal="center" vertical="center"/>
    </xf>
    <xf numFmtId="0" fontId="27" fillId="13" borderId="0" xfId="0" applyFont="1" applyFill="1" applyAlignment="1">
      <alignment horizontal="center" vertical="center"/>
    </xf>
    <xf numFmtId="0" fontId="32" fillId="0" borderId="9" xfId="0" applyFont="1" applyBorder="1" applyAlignment="1">
      <alignment horizontal="center" vertical="center" wrapText="1"/>
    </xf>
    <xf numFmtId="0" fontId="32" fillId="0" borderId="4" xfId="0" applyFont="1" applyBorder="1" applyAlignment="1">
      <alignment horizontal="center" vertical="center" wrapText="1"/>
    </xf>
    <xf numFmtId="0" fontId="33" fillId="15" borderId="16" xfId="0" applyFont="1" applyFill="1" applyBorder="1" applyAlignment="1">
      <alignment horizontal="center" vertical="center" textRotation="90" wrapText="1"/>
    </xf>
    <xf numFmtId="0" fontId="33" fillId="15" borderId="17" xfId="0" applyFont="1" applyFill="1" applyBorder="1" applyAlignment="1">
      <alignment horizontal="center" vertical="center" textRotation="90" wrapText="1"/>
    </xf>
    <xf numFmtId="0" fontId="33" fillId="15" borderId="18" xfId="0" applyFont="1" applyFill="1" applyBorder="1" applyAlignment="1">
      <alignment horizontal="center" vertical="center" textRotation="90" wrapText="1"/>
    </xf>
    <xf numFmtId="0" fontId="17" fillId="16" borderId="8" xfId="0" applyFont="1" applyFill="1" applyBorder="1" applyAlignment="1">
      <alignment horizontal="center" vertical="center" wrapText="1"/>
    </xf>
    <xf numFmtId="0" fontId="17" fillId="16" borderId="6" xfId="0" applyFont="1" applyFill="1" applyBorder="1" applyAlignment="1">
      <alignment horizontal="center" vertical="center" wrapText="1"/>
    </xf>
    <xf numFmtId="0" fontId="18" fillId="0" borderId="28" xfId="0" applyFont="1" applyBorder="1" applyAlignment="1">
      <alignment horizontal="center" vertical="center" wrapText="1"/>
    </xf>
    <xf numFmtId="0" fontId="18" fillId="0" borderId="33" xfId="0" applyFont="1" applyBorder="1" applyAlignment="1">
      <alignment horizontal="center" vertical="center" wrapText="1"/>
    </xf>
    <xf numFmtId="0" fontId="17" fillId="3" borderId="61" xfId="0" applyFont="1" applyFill="1" applyBorder="1" applyAlignment="1">
      <alignment horizontal="center" vertical="center" wrapText="1"/>
    </xf>
    <xf numFmtId="0" fontId="17" fillId="3" borderId="70" xfId="0" applyFont="1" applyFill="1" applyBorder="1" applyAlignment="1">
      <alignment horizontal="center" vertical="center" wrapText="1"/>
    </xf>
    <xf numFmtId="0" fontId="26" fillId="0" borderId="61" xfId="0" applyFont="1" applyBorder="1" applyAlignment="1">
      <alignment horizontal="center" vertical="center" wrapText="1"/>
    </xf>
    <xf numFmtId="0" fontId="26" fillId="0" borderId="70" xfId="0" applyFont="1" applyBorder="1" applyAlignment="1">
      <alignment horizontal="center" vertical="center" wrapText="1"/>
    </xf>
    <xf numFmtId="0" fontId="18" fillId="0" borderId="31" xfId="0" applyFont="1" applyBorder="1" applyAlignment="1">
      <alignment horizontal="center" vertical="center" wrapText="1"/>
    </xf>
    <xf numFmtId="0" fontId="17" fillId="3" borderId="7" xfId="0" applyFont="1" applyFill="1" applyBorder="1" applyAlignment="1">
      <alignment horizontal="left" vertical="center" wrapText="1"/>
    </xf>
    <xf numFmtId="0" fontId="26" fillId="0" borderId="61" xfId="0" applyFont="1" applyBorder="1" applyAlignment="1">
      <alignment horizontal="left" vertical="center" wrapText="1"/>
    </xf>
    <xf numFmtId="0" fontId="26" fillId="0" borderId="7" xfId="0" applyFont="1" applyBorder="1" applyAlignment="1">
      <alignment horizontal="left" vertical="center" wrapText="1"/>
    </xf>
    <xf numFmtId="0" fontId="26" fillId="0" borderId="70" xfId="0" applyFont="1" applyBorder="1" applyAlignment="1">
      <alignment horizontal="left" vertical="center" wrapText="1"/>
    </xf>
    <xf numFmtId="0" fontId="17" fillId="3" borderId="60" xfId="0" applyFont="1" applyFill="1" applyBorder="1" applyAlignment="1">
      <alignment horizontal="left" vertical="center" wrapText="1"/>
    </xf>
    <xf numFmtId="0" fontId="17" fillId="3" borderId="66" xfId="0" applyFont="1" applyFill="1" applyBorder="1" applyAlignment="1">
      <alignment horizontal="left" vertical="center" wrapText="1"/>
    </xf>
    <xf numFmtId="0" fontId="17" fillId="16" borderId="22" xfId="0" applyFont="1" applyFill="1" applyBorder="1" applyAlignment="1">
      <alignment horizontal="center" vertical="center" wrapText="1"/>
    </xf>
    <xf numFmtId="0" fontId="18" fillId="17" borderId="16" xfId="0" applyFont="1" applyFill="1" applyBorder="1" applyAlignment="1">
      <alignment horizontal="center" vertical="center" wrapText="1"/>
    </xf>
    <xf numFmtId="0" fontId="18" fillId="17" borderId="17" xfId="0" applyFont="1" applyFill="1" applyBorder="1" applyAlignment="1">
      <alignment horizontal="center" vertical="center" wrapText="1"/>
    </xf>
    <xf numFmtId="0" fontId="18" fillId="17" borderId="18" xfId="0" applyFont="1" applyFill="1" applyBorder="1" applyAlignment="1">
      <alignment horizontal="center" vertical="center" wrapText="1"/>
    </xf>
    <xf numFmtId="0" fontId="17" fillId="17" borderId="5" xfId="0" applyFont="1" applyFill="1" applyBorder="1" applyAlignment="1">
      <alignment horizontal="center" vertical="center" wrapText="1"/>
    </xf>
    <xf numFmtId="0" fontId="17" fillId="17" borderId="0" xfId="0" applyFont="1" applyFill="1" applyBorder="1" applyAlignment="1">
      <alignment horizontal="center" vertical="center" wrapText="1"/>
    </xf>
    <xf numFmtId="0" fontId="18" fillId="0" borderId="59" xfId="0" applyFont="1" applyBorder="1" applyAlignment="1">
      <alignment horizontal="center" vertical="center" wrapText="1"/>
    </xf>
    <xf numFmtId="0" fontId="18" fillId="0" borderId="63" xfId="0" applyFont="1" applyBorder="1" applyAlignment="1">
      <alignment horizontal="center" vertical="center" wrapText="1"/>
    </xf>
    <xf numFmtId="0" fontId="18" fillId="0" borderId="65" xfId="0" applyFont="1" applyBorder="1" applyAlignment="1">
      <alignment horizontal="center" vertical="center" wrapText="1"/>
    </xf>
    <xf numFmtId="0" fontId="17" fillId="17" borderId="3" xfId="0" applyFont="1" applyFill="1" applyBorder="1" applyAlignment="1">
      <alignment horizontal="center" vertical="center" wrapText="1"/>
    </xf>
    <xf numFmtId="0" fontId="17" fillId="17" borderId="4" xfId="0" applyFont="1" applyFill="1" applyBorder="1" applyAlignment="1">
      <alignment horizontal="center" vertical="center" wrapText="1"/>
    </xf>
    <xf numFmtId="0" fontId="45" fillId="19" borderId="16" xfId="0" applyFont="1" applyFill="1" applyBorder="1" applyAlignment="1">
      <alignment horizontal="left" vertical="center"/>
    </xf>
    <xf numFmtId="0" fontId="45" fillId="19" borderId="17" xfId="0" applyFont="1" applyFill="1" applyBorder="1" applyAlignment="1">
      <alignment horizontal="left" vertical="center"/>
    </xf>
    <xf numFmtId="0" fontId="45" fillId="19" borderId="18" xfId="0" applyFont="1" applyFill="1" applyBorder="1" applyAlignment="1">
      <alignment horizontal="left" vertical="center"/>
    </xf>
    <xf numFmtId="0" fontId="8" fillId="7" borderId="16" xfId="0" applyFont="1" applyFill="1" applyBorder="1" applyAlignment="1">
      <alignment horizontal="center" vertical="center"/>
    </xf>
    <xf numFmtId="0" fontId="8" fillId="7" borderId="17" xfId="0" applyFont="1" applyFill="1" applyBorder="1" applyAlignment="1">
      <alignment horizontal="center" vertical="center"/>
    </xf>
    <xf numFmtId="0" fontId="8" fillId="7" borderId="18" xfId="0" applyFont="1" applyFill="1" applyBorder="1" applyAlignment="1">
      <alignment horizontal="center" vertical="center"/>
    </xf>
    <xf numFmtId="0" fontId="8" fillId="2" borderId="16" xfId="0" applyFont="1" applyFill="1" applyBorder="1" applyAlignment="1">
      <alignment horizontal="center" vertical="center" wrapText="1"/>
    </xf>
    <xf numFmtId="0" fontId="8" fillId="2" borderId="17" xfId="0" applyFont="1" applyFill="1" applyBorder="1" applyAlignment="1">
      <alignment horizontal="center" vertical="center" wrapText="1"/>
    </xf>
    <xf numFmtId="0" fontId="8" fillId="2" borderId="18" xfId="0" applyFont="1" applyFill="1" applyBorder="1" applyAlignment="1">
      <alignment horizontal="center" vertical="center" wrapText="1"/>
    </xf>
    <xf numFmtId="0" fontId="17" fillId="16" borderId="60" xfId="0" applyFont="1" applyFill="1" applyBorder="1" applyAlignment="1">
      <alignment horizontal="center" vertical="center" wrapText="1"/>
    </xf>
    <xf numFmtId="0" fontId="17" fillId="16" borderId="66" xfId="0" applyFont="1" applyFill="1" applyBorder="1" applyAlignment="1">
      <alignment horizontal="center" vertical="center" wrapText="1"/>
    </xf>
    <xf numFmtId="0" fontId="17" fillId="3" borderId="7" xfId="0" applyFont="1" applyFill="1" applyBorder="1" applyAlignment="1">
      <alignment horizontal="center" vertical="center" wrapText="1"/>
    </xf>
    <xf numFmtId="0" fontId="43" fillId="22" borderId="1" xfId="0" applyFont="1" applyFill="1" applyBorder="1" applyAlignment="1">
      <alignment horizontal="left" vertical="center" wrapText="1"/>
    </xf>
    <xf numFmtId="0" fontId="43" fillId="22" borderId="68" xfId="0" applyFont="1" applyFill="1" applyBorder="1" applyAlignment="1">
      <alignment horizontal="left" vertical="center" wrapText="1"/>
    </xf>
    <xf numFmtId="0" fontId="43" fillId="22" borderId="2" xfId="0" applyFont="1" applyFill="1" applyBorder="1" applyAlignment="1">
      <alignment horizontal="left" vertical="center" wrapText="1"/>
    </xf>
    <xf numFmtId="0" fontId="37" fillId="19" borderId="16" xfId="0" applyFont="1" applyFill="1" applyBorder="1" applyAlignment="1">
      <alignment horizontal="left" vertical="center"/>
    </xf>
    <xf numFmtId="0" fontId="37" fillId="19" borderId="17" xfId="0" applyFont="1" applyFill="1" applyBorder="1" applyAlignment="1">
      <alignment horizontal="left" vertical="center"/>
    </xf>
    <xf numFmtId="0" fontId="37" fillId="19" borderId="18" xfId="0" applyFont="1" applyFill="1" applyBorder="1" applyAlignment="1">
      <alignment horizontal="left" vertical="center"/>
    </xf>
    <xf numFmtId="0" fontId="43" fillId="22" borderId="1" xfId="0" applyFont="1" applyFill="1" applyBorder="1" applyAlignment="1">
      <alignment horizontal="center" vertical="center" wrapText="1"/>
    </xf>
    <xf numFmtId="0" fontId="43" fillId="22" borderId="68" xfId="0" applyFont="1" applyFill="1" applyBorder="1" applyAlignment="1">
      <alignment horizontal="center" vertical="center" wrapText="1"/>
    </xf>
    <xf numFmtId="0" fontId="43" fillId="22" borderId="2" xfId="0" applyFont="1" applyFill="1" applyBorder="1" applyAlignment="1">
      <alignment horizontal="center" vertical="center" wrapText="1"/>
    </xf>
    <xf numFmtId="0" fontId="17" fillId="16" borderId="88" xfId="0" applyFont="1" applyFill="1" applyBorder="1" applyAlignment="1">
      <alignment horizontal="center" vertical="center" wrapText="1"/>
    </xf>
    <xf numFmtId="0" fontId="17" fillId="16" borderId="89" xfId="0" applyFont="1" applyFill="1" applyBorder="1" applyAlignment="1">
      <alignment horizontal="center" vertical="center" wrapText="1"/>
    </xf>
    <xf numFmtId="0" fontId="50" fillId="0" borderId="9" xfId="0" applyFont="1" applyBorder="1" applyAlignment="1">
      <alignment horizontal="center" vertical="center" wrapText="1"/>
    </xf>
    <xf numFmtId="0" fontId="17" fillId="16" borderId="90" xfId="0" applyFont="1" applyFill="1" applyBorder="1" applyAlignment="1">
      <alignment horizontal="center" vertical="center" wrapText="1"/>
    </xf>
    <xf numFmtId="0" fontId="17" fillId="16" borderId="91" xfId="0" applyFont="1" applyFill="1" applyBorder="1" applyAlignment="1">
      <alignment horizontal="center" vertical="center" wrapText="1"/>
    </xf>
    <xf numFmtId="0" fontId="52" fillId="17" borderId="43" xfId="0" applyFont="1" applyFill="1" applyBorder="1" applyAlignment="1">
      <alignment horizontal="center" vertical="center" wrapText="1"/>
    </xf>
    <xf numFmtId="0" fontId="52" fillId="17" borderId="50" xfId="0" applyFont="1" applyFill="1" applyBorder="1" applyAlignment="1">
      <alignment horizontal="center" vertical="center" wrapText="1"/>
    </xf>
    <xf numFmtId="0" fontId="52" fillId="17" borderId="44" xfId="0" applyFont="1" applyFill="1" applyBorder="1" applyAlignment="1">
      <alignment horizontal="center" vertical="center" wrapText="1"/>
    </xf>
    <xf numFmtId="0" fontId="18" fillId="17" borderId="45" xfId="0" applyFont="1" applyFill="1" applyBorder="1" applyAlignment="1">
      <alignment horizontal="center" vertical="center" wrapText="1"/>
    </xf>
    <xf numFmtId="0" fontId="18" fillId="17" borderId="46" xfId="0" applyFont="1" applyFill="1" applyBorder="1" applyAlignment="1">
      <alignment horizontal="center" vertical="center" wrapText="1"/>
    </xf>
    <xf numFmtId="0" fontId="17" fillId="23" borderId="61" xfId="0" applyFont="1" applyFill="1" applyBorder="1" applyAlignment="1">
      <alignment horizontal="left" vertical="center" wrapText="1"/>
    </xf>
    <xf numFmtId="0" fontId="17" fillId="23" borderId="70" xfId="0" applyFont="1" applyFill="1" applyBorder="1" applyAlignment="1">
      <alignment horizontal="left" vertical="center" wrapText="1"/>
    </xf>
    <xf numFmtId="0" fontId="17" fillId="16" borderId="92" xfId="0" applyFont="1" applyFill="1" applyBorder="1" applyAlignment="1">
      <alignment horizontal="center" vertical="center" wrapText="1"/>
    </xf>
    <xf numFmtId="0" fontId="17" fillId="16" borderId="69" xfId="0" applyFont="1" applyFill="1" applyBorder="1" applyAlignment="1">
      <alignment horizontal="center" vertical="center" wrapText="1"/>
    </xf>
    <xf numFmtId="0" fontId="18" fillId="17" borderId="47" xfId="0" applyFont="1" applyFill="1" applyBorder="1" applyAlignment="1">
      <alignment horizontal="center" vertical="center" wrapText="1"/>
    </xf>
    <xf numFmtId="0" fontId="18" fillId="17" borderId="57" xfId="0" applyFont="1" applyFill="1" applyBorder="1" applyAlignment="1">
      <alignment horizontal="center" vertical="center" wrapText="1"/>
    </xf>
    <xf numFmtId="0" fontId="18" fillId="17" borderId="58" xfId="0" applyFont="1" applyFill="1" applyBorder="1" applyAlignment="1">
      <alignment horizontal="center" vertical="center" wrapText="1"/>
    </xf>
    <xf numFmtId="0" fontId="37" fillId="24" borderId="45" xfId="0" applyFont="1" applyFill="1" applyBorder="1" applyAlignment="1">
      <alignment horizontal="left" vertical="center"/>
    </xf>
    <xf numFmtId="0" fontId="37" fillId="24" borderId="0" xfId="0" applyFont="1" applyFill="1" applyBorder="1" applyAlignment="1">
      <alignment horizontal="left" vertical="center"/>
    </xf>
    <xf numFmtId="0" fontId="37" fillId="24" borderId="46" xfId="0" applyFont="1" applyFill="1" applyBorder="1" applyAlignment="1">
      <alignment horizontal="left" vertical="center"/>
    </xf>
    <xf numFmtId="0" fontId="17" fillId="23" borderId="60" xfId="0" applyFont="1" applyFill="1" applyBorder="1" applyAlignment="1">
      <alignment horizontal="left" vertical="center" wrapText="1"/>
    </xf>
    <xf numFmtId="0" fontId="17" fillId="23" borderId="66" xfId="0" applyFont="1" applyFill="1" applyBorder="1" applyAlignment="1">
      <alignment horizontal="left" vertical="center" wrapText="1"/>
    </xf>
    <xf numFmtId="0" fontId="18" fillId="17" borderId="3" xfId="0" applyFont="1" applyFill="1" applyBorder="1" applyAlignment="1">
      <alignment horizontal="center" vertical="center" wrapText="1"/>
    </xf>
    <xf numFmtId="0" fontId="18" fillId="17" borderId="4" xfId="0" applyFont="1" applyFill="1" applyBorder="1" applyAlignment="1">
      <alignment horizontal="center" vertical="center" wrapText="1"/>
    </xf>
    <xf numFmtId="0" fontId="37" fillId="24" borderId="24" xfId="0" applyFont="1" applyFill="1" applyBorder="1" applyAlignment="1">
      <alignment horizontal="left" vertical="center"/>
    </xf>
    <xf numFmtId="0" fontId="37" fillId="24" borderId="15" xfId="0" applyFont="1" applyFill="1" applyBorder="1" applyAlignment="1">
      <alignment horizontal="left" vertical="center"/>
    </xf>
    <xf numFmtId="0" fontId="17" fillId="23" borderId="9" xfId="0" applyFont="1" applyFill="1" applyBorder="1" applyAlignment="1">
      <alignment horizontal="left" vertical="center" wrapText="1"/>
    </xf>
    <xf numFmtId="0" fontId="26" fillId="0" borderId="9" xfId="0" applyFont="1" applyBorder="1" applyAlignment="1">
      <alignment horizontal="left" vertical="center" wrapText="1"/>
    </xf>
    <xf numFmtId="0" fontId="12" fillId="10" borderId="16" xfId="0" applyFont="1" applyFill="1" applyBorder="1" applyAlignment="1">
      <alignment horizontal="center" vertical="center" wrapText="1"/>
    </xf>
    <xf numFmtId="0" fontId="12" fillId="10" borderId="17" xfId="0" applyFont="1" applyFill="1" applyBorder="1" applyAlignment="1">
      <alignment horizontal="center" vertical="center" wrapText="1"/>
    </xf>
    <xf numFmtId="0" fontId="12" fillId="10" borderId="18" xfId="0" applyFont="1" applyFill="1" applyBorder="1" applyAlignment="1">
      <alignment horizontal="center" vertical="center" wrapText="1"/>
    </xf>
  </cellXfs>
  <cellStyles count="5">
    <cellStyle name="Bad" xfId="3" builtinId="27"/>
    <cellStyle name="Currency" xfId="2" builtinId="4"/>
    <cellStyle name="Neutral" xfId="4" builtinId="28"/>
    <cellStyle name="Normal" xfId="0" builtinId="0"/>
    <cellStyle name="Normal 3" xfId="1" xr:uid="{00000000-0005-0000-0000-000001000000}"/>
  </cellStyles>
  <dxfs count="0"/>
  <tableStyles count="0" defaultTableStyle="TableStyleMedium2" defaultPivotStyle="PivotStyleLight16"/>
  <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oneCellAnchor>
    <xdr:from>
      <xdr:col>0</xdr:col>
      <xdr:colOff>436469</xdr:colOff>
      <xdr:row>4</xdr:row>
      <xdr:rowOff>14380</xdr:rowOff>
    </xdr:from>
    <xdr:ext cx="12337676" cy="2428501"/>
    <xdr:sp macro="" textlink="">
      <xdr:nvSpPr>
        <xdr:cNvPr id="8" name="TextBox 7">
          <a:extLst>
            <a:ext uri="{FF2B5EF4-FFF2-40B4-BE49-F238E27FC236}">
              <a16:creationId xmlns:a16="http://schemas.microsoft.com/office/drawing/2014/main" id="{5E4991F2-1816-4324-A7EF-9B4AEDDFF0FD}"/>
            </a:ext>
          </a:extLst>
        </xdr:cNvPr>
        <xdr:cNvSpPr txBox="1"/>
      </xdr:nvSpPr>
      <xdr:spPr>
        <a:xfrm>
          <a:off x="436469" y="888439"/>
          <a:ext cx="12337676" cy="2428501"/>
        </a:xfrm>
        <a:prstGeom prst="rect">
          <a:avLst/>
        </a:prstGeom>
        <a:solidFill>
          <a:srgbClr val="E7E6E6"/>
        </a:solidFill>
        <a:ln w="28575">
          <a:solidFill>
            <a:srgbClr val="FFFF00"/>
          </a:solidFill>
        </a:ln>
        <a:effectLst/>
      </xdr:spPr>
      <xdr:txBody>
        <a:bodyPr vertOverflow="clip" horzOverflow="clip" wrap="square" rtlCol="0" anchor="t">
          <a:noAutofit/>
        </a:bodyPr>
        <a:lstStyle/>
        <a:p>
          <a:r>
            <a:rPr lang="en-US" sz="1250" b="1" i="0">
              <a:effectLst/>
              <a:latin typeface="+mn-lt"/>
              <a:ea typeface="+mn-ea"/>
              <a:cs typeface="+mn-cs"/>
            </a:rPr>
            <a:t>Reynolds</a:t>
          </a:r>
          <a:r>
            <a:rPr lang="en-US" sz="1250" b="1" i="0" baseline="0">
              <a:effectLst/>
              <a:latin typeface="+mn-lt"/>
              <a:ea typeface="+mn-ea"/>
              <a:cs typeface="+mn-cs"/>
            </a:rPr>
            <a:t> American</a:t>
          </a:r>
          <a:r>
            <a:rPr lang="en-US" sz="1250" b="1" i="0">
              <a:effectLst/>
              <a:latin typeface="+mn-lt"/>
              <a:ea typeface="+mn-ea"/>
              <a:cs typeface="+mn-cs"/>
            </a:rPr>
            <a:t> expects that CSF Incremental Offers will be reflected and reported in Price (Field 13), and requests Customers report CSF Incremental Offers consistent with the Customers execution (e.g. Single-Unit Offer, Multi-Unit Offer, Loyalty Offer).</a:t>
          </a:r>
        </a:p>
        <a:p>
          <a:endParaRPr lang="en-US" sz="1200" b="1" i="0">
            <a:effectLst/>
            <a:latin typeface="+mn-lt"/>
            <a:ea typeface="+mn-ea"/>
            <a:cs typeface="+mn-cs"/>
          </a:endParaRPr>
        </a:p>
        <a:p>
          <a:pPr marL="628650" lvl="1" indent="-171450">
            <a:buFont typeface="Arial" panose="020B0604020202020204" pitchFamily="34" charset="0"/>
            <a:buChar char="•"/>
          </a:pPr>
          <a:r>
            <a:rPr lang="en-US" sz="1200">
              <a:effectLst/>
              <a:latin typeface="+mn-lt"/>
              <a:ea typeface="+mn-ea"/>
              <a:cs typeface="+mn-cs"/>
            </a:rPr>
            <a:t>Per RSD Reporting Requirements, the proper final selling price per selling unit (less sales tax and any discounts that may have been applied) should be reflected in Field 13 - Price.</a:t>
          </a:r>
        </a:p>
        <a:p>
          <a:pPr marL="628650" lvl="1" indent="-171450">
            <a:buFont typeface="Arial" panose="020B0604020202020204" pitchFamily="34" charset="0"/>
            <a:buChar char="•"/>
          </a:pPr>
          <a:r>
            <a:rPr lang="en-US" sz="1200">
              <a:effectLst/>
              <a:latin typeface="+mn-lt"/>
              <a:ea typeface="+mn-ea"/>
              <a:cs typeface="+mn-cs"/>
            </a:rPr>
            <a:t>Per RSD Reporting Requirements, Field 33 – Account Loyalty ID is </a:t>
          </a:r>
          <a:r>
            <a:rPr lang="en-US" sz="1200" u="sng">
              <a:effectLst/>
              <a:latin typeface="+mn-lt"/>
              <a:ea typeface="+mn-ea"/>
              <a:cs typeface="+mn-cs"/>
            </a:rPr>
            <a:t>required</a:t>
          </a:r>
          <a:r>
            <a:rPr lang="en-US" sz="1200">
              <a:effectLst/>
              <a:latin typeface="+mn-lt"/>
              <a:ea typeface="+mn-ea"/>
              <a:cs typeface="+mn-cs"/>
            </a:rPr>
            <a:t> to be included on </a:t>
          </a:r>
          <a:r>
            <a:rPr lang="en-US" sz="1200" u="sng">
              <a:effectLst/>
              <a:latin typeface="+mn-lt"/>
              <a:ea typeface="+mn-ea"/>
              <a:cs typeface="+mn-cs"/>
            </a:rPr>
            <a:t>all transactions </a:t>
          </a:r>
          <a:r>
            <a:rPr lang="en-US" sz="1200">
              <a:effectLst/>
              <a:latin typeface="+mn-lt"/>
              <a:ea typeface="+mn-ea"/>
              <a:cs typeface="+mn-cs"/>
            </a:rPr>
            <a:t>within a market basket when a Loyalty ID is used on a purchase.</a:t>
          </a:r>
        </a:p>
        <a:p>
          <a:pPr lvl="1"/>
          <a:endParaRPr lang="en-US" sz="1200" b="1">
            <a:effectLst/>
            <a:latin typeface="+mn-lt"/>
            <a:ea typeface="+mn-ea"/>
            <a:cs typeface="+mn-cs"/>
          </a:endParaRP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200">
              <a:effectLst/>
              <a:latin typeface="+mn-lt"/>
              <a:ea typeface="+mn-ea"/>
              <a:cs typeface="+mn-cs"/>
            </a:rPr>
            <a:t>CSF – Offer Funds </a:t>
          </a:r>
          <a:r>
            <a:rPr lang="en-US" sz="1200" b="1" u="sng">
              <a:effectLst/>
              <a:latin typeface="+mn-lt"/>
              <a:ea typeface="+mn-ea"/>
              <a:cs typeface="+mn-cs"/>
            </a:rPr>
            <a:t>ARE NOT</a:t>
          </a:r>
          <a:r>
            <a:rPr lang="en-US" sz="1200">
              <a:effectLst/>
              <a:latin typeface="+mn-lt"/>
              <a:ea typeface="+mn-ea"/>
              <a:cs typeface="+mn-cs"/>
            </a:rPr>
            <a:t> paid based off of RSD submissions.</a:t>
          </a:r>
          <a:endParaRPr lang="en-US" sz="1200">
            <a:effectLst/>
          </a:endParaRPr>
        </a:p>
        <a:p>
          <a:pPr lvl="1"/>
          <a:endParaRPr lang="en-US" sz="1200" b="1">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Calibri" panose="020F0502020204030204"/>
              <a:ea typeface="+mn-ea"/>
              <a:cs typeface="+mn-cs"/>
            </a:rPr>
            <a:t> </a:t>
          </a:r>
        </a:p>
      </xdr:txBody>
    </xdr:sp>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9</xdr:col>
      <xdr:colOff>560847</xdr:colOff>
      <xdr:row>9</xdr:row>
      <xdr:rowOff>22190</xdr:rowOff>
    </xdr:to>
    <xdr:sp macro="" textlink="">
      <xdr:nvSpPr>
        <xdr:cNvPr id="2" name="EsriDoNotEdit">
          <a:extLst>
            <a:ext uri="{FF2B5EF4-FFF2-40B4-BE49-F238E27FC236}">
              <a16:creationId xmlns:a16="http://schemas.microsoft.com/office/drawing/2014/main" id="{BCF03969-7A0F-4185-AB87-6C23CFFA2B1C}"/>
            </a:ext>
          </a:extLst>
        </xdr:cNvPr>
        <xdr:cNvSpPr/>
      </xdr:nvSpPr>
      <xdr:spPr>
        <a:xfrm>
          <a:off x="0" y="0"/>
          <a:ext cx="6390147" cy="1650965"/>
        </a:xfrm>
        <a:prstGeom prst="rect">
          <a:avLst/>
        </a:prstGeom>
        <a:noFill/>
      </xdr:spPr>
      <xdr:txBody>
        <a:bodyPr wrap="none" lIns="91440" tIns="45720" rIns="91440" bIns="45720">
          <a:spAutoFit/>
        </a:bodyPr>
        <a:lstStyle/>
        <a:p>
          <a:pPr algn="ctr"/>
          <a:r>
            <a:rPr lang="en-US" sz="5000" b="1" i="0" cap="none" spc="0">
              <a:ln w="18000">
                <a:solidFill>
                  <a:schemeClr val="accent2">
                    <a:satMod val="140000"/>
                  </a:schemeClr>
                </a:solidFill>
                <a:prstDash val="solid"/>
                <a:miter lim="800000"/>
              </a:ln>
              <a:noFill/>
              <a:effectLst>
                <a:outerShdw blurRad="25500" dist="23000" dir="7020000" algn="tl">
                  <a:srgbClr val="000000">
                    <a:alpha val="50000"/>
                  </a:srgbClr>
                </a:outerShdw>
              </a:effectLst>
              <a:latin typeface="Verdana" panose="020B0604030504040204" pitchFamily="34" charset="0"/>
            </a:rPr>
            <a:t>DO NOT EDIT </a:t>
          </a:r>
        </a:p>
        <a:p>
          <a:pPr algn="ctr"/>
          <a:r>
            <a:rPr lang="en-US" sz="5000" b="1" i="0" cap="none" spc="0">
              <a:ln w="18000">
                <a:solidFill>
                  <a:schemeClr val="accent2">
                    <a:satMod val="140000"/>
                  </a:schemeClr>
                </a:solidFill>
                <a:prstDash val="solid"/>
                <a:miter lim="800000"/>
              </a:ln>
              <a:noFill/>
              <a:effectLst>
                <a:outerShdw blurRad="25500" dist="23000" dir="7020000" algn="tl">
                  <a:srgbClr val="000000">
                    <a:alpha val="50000"/>
                  </a:srgbClr>
                </a:outerShdw>
              </a:effectLst>
              <a:latin typeface="Verdana" panose="020B0604030504040204" pitchFamily="34" charset="0"/>
            </a:rPr>
            <a:t> For Esri use only</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0.14999847407452621"/>
    <pageSetUpPr fitToPage="1"/>
  </sheetPr>
  <dimension ref="A1:AK54"/>
  <sheetViews>
    <sheetView showGridLines="0" tabSelected="1" zoomScale="110" zoomScaleNormal="110" workbookViewId="0">
      <selection activeCell="B2" sqref="B2"/>
    </sheetView>
  </sheetViews>
  <sheetFormatPr defaultColWidth="9.28515625" defaultRowHeight="18.75" x14ac:dyDescent="0.2"/>
  <cols>
    <col min="1" max="1" width="6.28515625" style="53" customWidth="1"/>
    <col min="2" max="2" width="37.140625" style="2" customWidth="1"/>
    <col min="3" max="3" width="6.42578125" style="2" bestFit="1" customWidth="1"/>
    <col min="4" max="4" width="3.28515625" style="2" bestFit="1" customWidth="1"/>
    <col min="5" max="5" width="11.42578125" style="2" bestFit="1" customWidth="1"/>
    <col min="6" max="6" width="3.28515625" style="2" bestFit="1" customWidth="1"/>
    <col min="7" max="7" width="7.7109375" style="2" bestFit="1" customWidth="1"/>
    <col min="8" max="8" width="3.42578125" style="2" bestFit="1" customWidth="1"/>
    <col min="9" max="9" width="6" style="2" bestFit="1" customWidth="1"/>
    <col min="10" max="10" width="16.28515625" style="36" bestFit="1" customWidth="1"/>
    <col min="11" max="11" width="7" style="36" bestFit="1" customWidth="1"/>
    <col min="12" max="14" width="3.28515625" style="36" bestFit="1" customWidth="1"/>
    <col min="15" max="15" width="5.42578125" style="38" bestFit="1" customWidth="1"/>
    <col min="16" max="16" width="12" style="36" bestFit="1" customWidth="1"/>
    <col min="17" max="17" width="31.28515625" style="50" bestFit="1" customWidth="1"/>
    <col min="18" max="18" width="6.28515625" style="36" bestFit="1" customWidth="1"/>
    <col min="19" max="19" width="3.28515625" style="37" bestFit="1" customWidth="1"/>
    <col min="20" max="20" width="5.7109375" style="36" bestFit="1" customWidth="1"/>
    <col min="21" max="21" width="8.140625" style="36" bestFit="1" customWidth="1"/>
    <col min="22" max="22" width="8.140625" style="38" bestFit="1" customWidth="1"/>
    <col min="23" max="23" width="18.85546875" style="36" bestFit="1" customWidth="1"/>
    <col min="24" max="24" width="4.42578125" style="38" bestFit="1" customWidth="1"/>
    <col min="25" max="25" width="4.42578125" style="39" bestFit="1" customWidth="1"/>
    <col min="26" max="26" width="13.140625" style="36" bestFit="1" customWidth="1"/>
    <col min="27" max="27" width="5.7109375" style="38" bestFit="1" customWidth="1"/>
    <col min="28" max="29" width="5.7109375" style="36" bestFit="1" customWidth="1"/>
    <col min="30" max="30" width="5.7109375" style="38" bestFit="1" customWidth="1"/>
    <col min="31" max="31" width="15.140625" style="37" bestFit="1" customWidth="1"/>
    <col min="32" max="32" width="11.140625" style="36" bestFit="1" customWidth="1"/>
    <col min="33" max="33" width="5.7109375" style="38" bestFit="1" customWidth="1"/>
    <col min="34" max="34" width="5.7109375" style="36" bestFit="1" customWidth="1"/>
    <col min="35" max="36" width="3.28515625" style="36" bestFit="1" customWidth="1"/>
    <col min="37" max="37" width="9.28515625" style="11"/>
    <col min="38" max="16384" width="9.28515625" style="2"/>
  </cols>
  <sheetData>
    <row r="1" spans="1:37" ht="27" customHeight="1" thickBot="1" x14ac:dyDescent="0.25">
      <c r="A1" s="62"/>
      <c r="B1" s="64" t="s">
        <v>336</v>
      </c>
      <c r="C1" s="531" t="s">
        <v>58</v>
      </c>
      <c r="D1" s="532"/>
      <c r="E1" s="532"/>
      <c r="F1" s="532"/>
      <c r="G1" s="532"/>
      <c r="H1" s="532"/>
      <c r="I1" s="532"/>
      <c r="J1" s="533"/>
      <c r="K1" s="12"/>
      <c r="L1" s="12"/>
      <c r="M1" s="12"/>
      <c r="N1" s="12"/>
      <c r="O1" s="12"/>
      <c r="P1" s="544" t="s">
        <v>83</v>
      </c>
      <c r="Q1" s="544"/>
      <c r="R1" s="544"/>
      <c r="S1" s="545"/>
      <c r="T1" s="12"/>
      <c r="U1" s="12"/>
      <c r="V1" s="12"/>
      <c r="W1" s="12"/>
      <c r="X1" s="12"/>
      <c r="Y1" s="12"/>
      <c r="Z1" s="12"/>
      <c r="AA1" s="12"/>
      <c r="AB1" s="12"/>
      <c r="AC1" s="12"/>
      <c r="AD1" s="12"/>
      <c r="AE1" s="12"/>
      <c r="AF1" s="12"/>
      <c r="AG1" s="12"/>
      <c r="AH1" s="12"/>
      <c r="AI1" s="12"/>
      <c r="AJ1" s="12"/>
    </row>
    <row r="2" spans="1:37" customFormat="1" ht="15.75" thickBot="1" x14ac:dyDescent="0.3">
      <c r="AK2" s="23"/>
    </row>
    <row r="3" spans="1:37" s="54" customFormat="1" x14ac:dyDescent="0.25">
      <c r="A3" s="56"/>
      <c r="B3" s="405" t="s">
        <v>69</v>
      </c>
      <c r="C3" s="406">
        <v>1</v>
      </c>
      <c r="D3" s="407">
        <v>2</v>
      </c>
      <c r="E3" s="407">
        <v>3</v>
      </c>
      <c r="F3" s="407">
        <v>4</v>
      </c>
      <c r="G3" s="407">
        <v>5</v>
      </c>
      <c r="H3" s="407">
        <v>6</v>
      </c>
      <c r="I3" s="407">
        <v>7</v>
      </c>
      <c r="J3" s="407">
        <v>8</v>
      </c>
      <c r="K3" s="407">
        <v>9</v>
      </c>
      <c r="L3" s="407">
        <v>10</v>
      </c>
      <c r="M3" s="407">
        <v>11</v>
      </c>
      <c r="N3" s="407">
        <v>12</v>
      </c>
      <c r="O3" s="407">
        <v>13</v>
      </c>
      <c r="P3" s="407">
        <v>14</v>
      </c>
      <c r="Q3" s="407">
        <v>15</v>
      </c>
      <c r="R3" s="407">
        <v>16</v>
      </c>
      <c r="S3" s="407">
        <v>17</v>
      </c>
      <c r="T3" s="407">
        <v>18</v>
      </c>
      <c r="U3" s="407">
        <v>19</v>
      </c>
      <c r="V3" s="407">
        <v>20</v>
      </c>
      <c r="W3" s="407">
        <v>21</v>
      </c>
      <c r="X3" s="407">
        <v>22</v>
      </c>
      <c r="Y3" s="407">
        <v>23</v>
      </c>
      <c r="Z3" s="407">
        <v>24</v>
      </c>
      <c r="AA3" s="407">
        <v>25</v>
      </c>
      <c r="AB3" s="407">
        <v>26</v>
      </c>
      <c r="AC3" s="407">
        <v>27</v>
      </c>
      <c r="AD3" s="407">
        <v>28</v>
      </c>
      <c r="AE3" s="407">
        <v>29</v>
      </c>
      <c r="AF3" s="407">
        <v>30</v>
      </c>
      <c r="AG3" s="407">
        <v>31</v>
      </c>
      <c r="AH3" s="407">
        <v>32</v>
      </c>
      <c r="AI3" s="407">
        <v>33</v>
      </c>
      <c r="AJ3" s="408">
        <v>34</v>
      </c>
      <c r="AK3" s="212"/>
    </row>
    <row r="4" spans="1:37" s="1" customFormat="1" ht="70.150000000000006" customHeight="1" thickBot="1" x14ac:dyDescent="0.25">
      <c r="A4" s="537" t="s">
        <v>3</v>
      </c>
      <c r="B4" s="538"/>
      <c r="C4" s="409" t="s">
        <v>22</v>
      </c>
      <c r="D4" s="85" t="s">
        <v>23</v>
      </c>
      <c r="E4" s="85" t="s">
        <v>24</v>
      </c>
      <c r="F4" s="85" t="s">
        <v>25</v>
      </c>
      <c r="G4" s="85" t="s">
        <v>19</v>
      </c>
      <c r="H4" s="85" t="s">
        <v>20</v>
      </c>
      <c r="I4" s="85" t="s">
        <v>21</v>
      </c>
      <c r="J4" s="85" t="s">
        <v>26</v>
      </c>
      <c r="K4" s="85" t="s">
        <v>27</v>
      </c>
      <c r="L4" s="85" t="s">
        <v>28</v>
      </c>
      <c r="M4" s="85" t="s">
        <v>29</v>
      </c>
      <c r="N4" s="85" t="s">
        <v>0</v>
      </c>
      <c r="O4" s="86" t="s">
        <v>1</v>
      </c>
      <c r="P4" s="85" t="s">
        <v>30</v>
      </c>
      <c r="Q4" s="85" t="s">
        <v>2</v>
      </c>
      <c r="R4" s="85" t="s">
        <v>31</v>
      </c>
      <c r="S4" s="85" t="s">
        <v>32</v>
      </c>
      <c r="T4" s="85" t="s">
        <v>47</v>
      </c>
      <c r="U4" s="85" t="s">
        <v>48</v>
      </c>
      <c r="V4" s="86" t="s">
        <v>49</v>
      </c>
      <c r="W4" s="85" t="s">
        <v>33</v>
      </c>
      <c r="X4" s="86" t="s">
        <v>34</v>
      </c>
      <c r="Y4" s="86" t="s">
        <v>35</v>
      </c>
      <c r="Z4" s="85" t="s">
        <v>36</v>
      </c>
      <c r="AA4" s="86" t="s">
        <v>37</v>
      </c>
      <c r="AB4" s="85" t="s">
        <v>38</v>
      </c>
      <c r="AC4" s="85" t="s">
        <v>39</v>
      </c>
      <c r="AD4" s="86" t="s">
        <v>40</v>
      </c>
      <c r="AE4" s="85" t="s">
        <v>41</v>
      </c>
      <c r="AF4" s="85" t="s">
        <v>42</v>
      </c>
      <c r="AG4" s="86" t="s">
        <v>43</v>
      </c>
      <c r="AH4" s="85" t="s">
        <v>44</v>
      </c>
      <c r="AI4" s="85" t="s">
        <v>45</v>
      </c>
      <c r="AJ4" s="410" t="s">
        <v>46</v>
      </c>
      <c r="AK4" s="5"/>
    </row>
    <row r="5" spans="1:37" ht="12.75" x14ac:dyDescent="0.2">
      <c r="A5" s="539">
        <v>1</v>
      </c>
      <c r="B5" s="534" t="s">
        <v>332</v>
      </c>
      <c r="C5" s="411" t="s">
        <v>4</v>
      </c>
      <c r="D5" s="109">
        <v>1</v>
      </c>
      <c r="E5" s="109" t="s">
        <v>5</v>
      </c>
      <c r="F5" s="109"/>
      <c r="G5" s="109" t="s">
        <v>6</v>
      </c>
      <c r="H5" s="109" t="s">
        <v>10</v>
      </c>
      <c r="I5" s="109">
        <v>45429</v>
      </c>
      <c r="J5" s="110" t="s">
        <v>59</v>
      </c>
      <c r="K5" s="110">
        <v>123456</v>
      </c>
      <c r="L5" s="110">
        <v>1</v>
      </c>
      <c r="M5" s="110">
        <v>1</v>
      </c>
      <c r="N5" s="111">
        <v>1</v>
      </c>
      <c r="O5" s="112">
        <v>5.7</v>
      </c>
      <c r="P5" s="110">
        <v>1230020608</v>
      </c>
      <c r="Q5" s="113" t="s">
        <v>11</v>
      </c>
      <c r="R5" s="110" t="s">
        <v>7</v>
      </c>
      <c r="S5" s="111" t="s">
        <v>8</v>
      </c>
      <c r="T5" s="110"/>
      <c r="U5" s="110"/>
      <c r="V5" s="112"/>
      <c r="W5" s="110"/>
      <c r="X5" s="112"/>
      <c r="Y5" s="114"/>
      <c r="Z5" s="110"/>
      <c r="AA5" s="112"/>
      <c r="AB5" s="110"/>
      <c r="AC5" s="110"/>
      <c r="AD5" s="112"/>
      <c r="AE5" s="111"/>
      <c r="AF5" s="195" t="s">
        <v>119</v>
      </c>
      <c r="AG5" s="112">
        <v>0.7</v>
      </c>
      <c r="AH5" s="110"/>
      <c r="AI5" s="110"/>
      <c r="AJ5" s="115"/>
    </row>
    <row r="6" spans="1:37" ht="12.75" x14ac:dyDescent="0.2">
      <c r="A6" s="540"/>
      <c r="B6" s="535"/>
      <c r="C6" s="123" t="s">
        <v>4</v>
      </c>
      <c r="D6" s="14">
        <v>1</v>
      </c>
      <c r="E6" s="14" t="s">
        <v>5</v>
      </c>
      <c r="F6" s="14"/>
      <c r="G6" s="14" t="s">
        <v>6</v>
      </c>
      <c r="H6" s="14" t="s">
        <v>10</v>
      </c>
      <c r="I6" s="14">
        <v>45429</v>
      </c>
      <c r="J6" s="389" t="s">
        <v>60</v>
      </c>
      <c r="K6" s="389">
        <v>123456</v>
      </c>
      <c r="L6" s="389">
        <v>2</v>
      </c>
      <c r="M6" s="389">
        <v>1</v>
      </c>
      <c r="N6" s="25">
        <v>-1</v>
      </c>
      <c r="O6" s="26">
        <v>5.7</v>
      </c>
      <c r="P6" s="389">
        <v>1230020608</v>
      </c>
      <c r="Q6" s="46" t="s">
        <v>11</v>
      </c>
      <c r="R6" s="389" t="s">
        <v>7</v>
      </c>
      <c r="S6" s="19" t="s">
        <v>8</v>
      </c>
      <c r="T6" s="389"/>
      <c r="U6" s="389"/>
      <c r="V6" s="26"/>
      <c r="W6" s="389"/>
      <c r="X6" s="26"/>
      <c r="Y6" s="27"/>
      <c r="Z6" s="389"/>
      <c r="AA6" s="26"/>
      <c r="AB6" s="389"/>
      <c r="AC6" s="389"/>
      <c r="AD6" s="26"/>
      <c r="AE6" s="19"/>
      <c r="AF6" s="59" t="s">
        <v>119</v>
      </c>
      <c r="AG6" s="26">
        <v>0.7</v>
      </c>
      <c r="AH6" s="389"/>
      <c r="AI6" s="389"/>
      <c r="AJ6" s="390"/>
    </row>
    <row r="7" spans="1:37" ht="12.75" x14ac:dyDescent="0.2">
      <c r="A7" s="540"/>
      <c r="B7" s="535"/>
      <c r="C7" s="524"/>
      <c r="D7" s="525"/>
      <c r="E7" s="525"/>
      <c r="F7" s="525"/>
      <c r="G7" s="525"/>
      <c r="H7" s="525"/>
      <c r="I7" s="525"/>
      <c r="J7" s="525"/>
      <c r="K7" s="525"/>
      <c r="L7" s="525"/>
      <c r="M7" s="525"/>
      <c r="N7" s="525"/>
      <c r="O7" s="525"/>
      <c r="P7" s="525"/>
      <c r="Q7" s="525"/>
      <c r="R7" s="525"/>
      <c r="S7" s="525"/>
      <c r="T7" s="525"/>
      <c r="U7" s="525"/>
      <c r="V7" s="525"/>
      <c r="W7" s="525"/>
      <c r="X7" s="525"/>
      <c r="Y7" s="525"/>
      <c r="Z7" s="525"/>
      <c r="AA7" s="525"/>
      <c r="AB7" s="525"/>
      <c r="AC7" s="525"/>
      <c r="AD7" s="525"/>
      <c r="AE7" s="525"/>
      <c r="AF7" s="525"/>
      <c r="AG7" s="525"/>
      <c r="AH7" s="525"/>
      <c r="AI7" s="525"/>
      <c r="AJ7" s="526"/>
    </row>
    <row r="8" spans="1:37" ht="12.75" x14ac:dyDescent="0.2">
      <c r="A8" s="540"/>
      <c r="B8" s="535"/>
      <c r="C8" s="123" t="s">
        <v>4</v>
      </c>
      <c r="D8" s="14">
        <v>1</v>
      </c>
      <c r="E8" s="14" t="s">
        <v>5</v>
      </c>
      <c r="F8" s="14"/>
      <c r="G8" s="14" t="s">
        <v>6</v>
      </c>
      <c r="H8" s="14" t="s">
        <v>10</v>
      </c>
      <c r="I8" s="14">
        <v>45429</v>
      </c>
      <c r="J8" s="389" t="s">
        <v>59</v>
      </c>
      <c r="K8" s="389">
        <v>123456</v>
      </c>
      <c r="L8" s="389">
        <v>1</v>
      </c>
      <c r="M8" s="389">
        <v>1</v>
      </c>
      <c r="N8" s="19">
        <v>1</v>
      </c>
      <c r="O8" s="26">
        <v>57</v>
      </c>
      <c r="P8" s="389">
        <v>12300260138</v>
      </c>
      <c r="Q8" s="46" t="s">
        <v>11</v>
      </c>
      <c r="R8" s="44" t="s">
        <v>9</v>
      </c>
      <c r="S8" s="19" t="s">
        <v>8</v>
      </c>
      <c r="T8" s="389"/>
      <c r="U8" s="389"/>
      <c r="V8" s="26"/>
      <c r="W8" s="389"/>
      <c r="X8" s="26"/>
      <c r="Y8" s="27"/>
      <c r="Z8" s="389"/>
      <c r="AA8" s="26"/>
      <c r="AB8" s="389"/>
      <c r="AC8" s="389"/>
      <c r="AD8" s="26"/>
      <c r="AE8" s="19"/>
      <c r="AF8" s="59" t="s">
        <v>119</v>
      </c>
      <c r="AG8" s="207">
        <v>0.7</v>
      </c>
      <c r="AH8" s="389"/>
      <c r="AI8" s="389"/>
      <c r="AJ8" s="390"/>
    </row>
    <row r="9" spans="1:37" ht="13.5" thickBot="1" x14ac:dyDescent="0.25">
      <c r="A9" s="541"/>
      <c r="B9" s="536"/>
      <c r="C9" s="122" t="s">
        <v>4</v>
      </c>
      <c r="D9" s="91">
        <v>1</v>
      </c>
      <c r="E9" s="91" t="s">
        <v>5</v>
      </c>
      <c r="F9" s="91"/>
      <c r="G9" s="91" t="s">
        <v>6</v>
      </c>
      <c r="H9" s="91" t="s">
        <v>10</v>
      </c>
      <c r="I9" s="91">
        <v>45429</v>
      </c>
      <c r="J9" s="88" t="s">
        <v>60</v>
      </c>
      <c r="K9" s="88">
        <v>123456</v>
      </c>
      <c r="L9" s="88">
        <v>2</v>
      </c>
      <c r="M9" s="88">
        <v>1</v>
      </c>
      <c r="N9" s="81">
        <v>-1</v>
      </c>
      <c r="O9" s="89">
        <v>57</v>
      </c>
      <c r="P9" s="88">
        <v>12300260138</v>
      </c>
      <c r="Q9" s="117" t="s">
        <v>11</v>
      </c>
      <c r="R9" s="80" t="s">
        <v>9</v>
      </c>
      <c r="S9" s="78" t="s">
        <v>8</v>
      </c>
      <c r="T9" s="88"/>
      <c r="U9" s="88"/>
      <c r="V9" s="89"/>
      <c r="W9" s="88"/>
      <c r="X9" s="89"/>
      <c r="Y9" s="82"/>
      <c r="Z9" s="88"/>
      <c r="AA9" s="89"/>
      <c r="AB9" s="88"/>
      <c r="AC9" s="88"/>
      <c r="AD9" s="89"/>
      <c r="AE9" s="78"/>
      <c r="AF9" s="83" t="s">
        <v>119</v>
      </c>
      <c r="AG9" s="208">
        <v>0.7</v>
      </c>
      <c r="AH9" s="88"/>
      <c r="AI9" s="88"/>
      <c r="AJ9" s="90"/>
    </row>
    <row r="10" spans="1:37" s="211" customFormat="1" ht="13.5" customHeight="1" thickBot="1" x14ac:dyDescent="0.3">
      <c r="A10" s="245"/>
      <c r="B10" s="246"/>
      <c r="C10" s="412"/>
      <c r="D10" s="247"/>
      <c r="E10" s="247"/>
      <c r="F10" s="247"/>
      <c r="G10" s="247"/>
      <c r="H10" s="247"/>
      <c r="I10" s="247"/>
      <c r="J10" s="247"/>
      <c r="K10" s="247"/>
      <c r="L10" s="247"/>
      <c r="M10" s="247"/>
      <c r="N10" s="247"/>
      <c r="O10" s="247"/>
      <c r="P10" s="248"/>
      <c r="Q10" s="249"/>
      <c r="R10" s="247"/>
      <c r="S10" s="247"/>
      <c r="T10" s="247"/>
      <c r="U10" s="247"/>
      <c r="V10" s="247"/>
      <c r="W10" s="248"/>
      <c r="X10" s="247"/>
      <c r="Y10" s="248"/>
      <c r="Z10" s="248"/>
      <c r="AA10" s="247"/>
      <c r="AB10" s="248"/>
      <c r="AC10" s="247"/>
      <c r="AD10" s="247"/>
      <c r="AE10" s="248"/>
      <c r="AF10" s="247"/>
      <c r="AG10" s="247"/>
      <c r="AH10" s="248"/>
      <c r="AI10" s="247"/>
      <c r="AJ10" s="413"/>
      <c r="AK10" s="404"/>
    </row>
    <row r="11" spans="1:37" ht="12.75" x14ac:dyDescent="0.2">
      <c r="A11" s="542">
        <v>2</v>
      </c>
      <c r="B11" s="529" t="s">
        <v>87</v>
      </c>
      <c r="C11" s="98" t="s">
        <v>4</v>
      </c>
      <c r="D11" s="72">
        <v>1</v>
      </c>
      <c r="E11" s="72" t="s">
        <v>5</v>
      </c>
      <c r="F11" s="72"/>
      <c r="G11" s="72" t="s">
        <v>6</v>
      </c>
      <c r="H11" s="72" t="s">
        <v>10</v>
      </c>
      <c r="I11" s="72">
        <v>45429</v>
      </c>
      <c r="J11" s="73" t="s">
        <v>59</v>
      </c>
      <c r="K11" s="73">
        <v>123456</v>
      </c>
      <c r="L11" s="73">
        <v>1</v>
      </c>
      <c r="M11" s="73">
        <v>1</v>
      </c>
      <c r="N11" s="73">
        <v>1</v>
      </c>
      <c r="O11" s="74">
        <v>4.5</v>
      </c>
      <c r="P11" s="118">
        <v>42100011319</v>
      </c>
      <c r="Q11" s="119" t="s">
        <v>52</v>
      </c>
      <c r="R11" s="73" t="s">
        <v>73</v>
      </c>
      <c r="S11" s="73" t="s">
        <v>8</v>
      </c>
      <c r="T11" s="73"/>
      <c r="U11" s="73"/>
      <c r="V11" s="74"/>
      <c r="W11" s="73"/>
      <c r="X11" s="74"/>
      <c r="Y11" s="74"/>
      <c r="Z11" s="73"/>
      <c r="AA11" s="74"/>
      <c r="AB11" s="73"/>
      <c r="AC11" s="73"/>
      <c r="AD11" s="74"/>
      <c r="AE11" s="73"/>
      <c r="AF11" s="73" t="s">
        <v>119</v>
      </c>
      <c r="AG11" s="74">
        <v>0.5</v>
      </c>
      <c r="AH11" s="73"/>
      <c r="AI11" s="73"/>
      <c r="AJ11" s="75"/>
    </row>
    <row r="12" spans="1:37" ht="13.5" thickBot="1" x14ac:dyDescent="0.25">
      <c r="A12" s="543"/>
      <c r="B12" s="530"/>
      <c r="C12" s="122" t="s">
        <v>4</v>
      </c>
      <c r="D12" s="91">
        <v>1</v>
      </c>
      <c r="E12" s="91" t="s">
        <v>5</v>
      </c>
      <c r="F12" s="91"/>
      <c r="G12" s="91" t="s">
        <v>6</v>
      </c>
      <c r="H12" s="91" t="s">
        <v>10</v>
      </c>
      <c r="I12" s="91">
        <v>45429</v>
      </c>
      <c r="J12" s="88" t="s">
        <v>60</v>
      </c>
      <c r="K12" s="88">
        <v>123456</v>
      </c>
      <c r="L12" s="88">
        <v>2</v>
      </c>
      <c r="M12" s="88">
        <v>1</v>
      </c>
      <c r="N12" s="88">
        <v>1</v>
      </c>
      <c r="O12" s="79">
        <v>2.75</v>
      </c>
      <c r="P12" s="88">
        <v>42100023886</v>
      </c>
      <c r="Q12" s="120" t="s">
        <v>53</v>
      </c>
      <c r="R12" s="88" t="s">
        <v>73</v>
      </c>
      <c r="S12" s="78" t="s">
        <v>8</v>
      </c>
      <c r="T12" s="88"/>
      <c r="U12" s="88"/>
      <c r="V12" s="89"/>
      <c r="W12" s="88"/>
      <c r="X12" s="89"/>
      <c r="Y12" s="82"/>
      <c r="Z12" s="88"/>
      <c r="AA12" s="89"/>
      <c r="AB12" s="88"/>
      <c r="AC12" s="88"/>
      <c r="AD12" s="89"/>
      <c r="AE12" s="78"/>
      <c r="AF12" s="83" t="s">
        <v>119</v>
      </c>
      <c r="AG12" s="208">
        <v>0.5</v>
      </c>
      <c r="AH12" s="88"/>
      <c r="AI12" s="88"/>
      <c r="AJ12" s="90"/>
    </row>
    <row r="13" spans="1:37" s="211" customFormat="1" ht="13.5" customHeight="1" thickBot="1" x14ac:dyDescent="0.3">
      <c r="A13" s="245"/>
      <c r="B13" s="246"/>
      <c r="C13" s="412"/>
      <c r="D13" s="247"/>
      <c r="E13" s="247"/>
      <c r="F13" s="247"/>
      <c r="G13" s="247"/>
      <c r="H13" s="247"/>
      <c r="I13" s="247"/>
      <c r="J13" s="247"/>
      <c r="K13" s="247"/>
      <c r="L13" s="247"/>
      <c r="M13" s="247"/>
      <c r="N13" s="247"/>
      <c r="O13" s="247"/>
      <c r="P13" s="248"/>
      <c r="Q13" s="249"/>
      <c r="R13" s="247"/>
      <c r="S13" s="247"/>
      <c r="T13" s="247"/>
      <c r="U13" s="247"/>
      <c r="V13" s="247"/>
      <c r="W13" s="248"/>
      <c r="X13" s="247"/>
      <c r="Y13" s="248"/>
      <c r="Z13" s="248"/>
      <c r="AA13" s="247"/>
      <c r="AB13" s="248"/>
      <c r="AC13" s="247"/>
      <c r="AD13" s="247"/>
      <c r="AE13" s="248"/>
      <c r="AF13" s="247"/>
      <c r="AG13" s="247"/>
      <c r="AH13" s="248"/>
      <c r="AI13" s="247"/>
      <c r="AJ13" s="413"/>
      <c r="AK13" s="404"/>
    </row>
    <row r="14" spans="1:37" ht="12.75" x14ac:dyDescent="0.2">
      <c r="A14" s="546">
        <v>3</v>
      </c>
      <c r="B14" s="527" t="s">
        <v>88</v>
      </c>
      <c r="C14" s="98" t="s">
        <v>4</v>
      </c>
      <c r="D14" s="72">
        <v>1</v>
      </c>
      <c r="E14" s="72" t="s">
        <v>5</v>
      </c>
      <c r="F14" s="72"/>
      <c r="G14" s="72" t="s">
        <v>6</v>
      </c>
      <c r="H14" s="72" t="s">
        <v>10</v>
      </c>
      <c r="I14" s="72">
        <v>45429</v>
      </c>
      <c r="J14" s="73" t="s">
        <v>59</v>
      </c>
      <c r="K14" s="73">
        <v>123456</v>
      </c>
      <c r="L14" s="73">
        <v>1</v>
      </c>
      <c r="M14" s="73">
        <v>1</v>
      </c>
      <c r="N14" s="73">
        <v>1</v>
      </c>
      <c r="O14" s="74">
        <v>57</v>
      </c>
      <c r="P14" s="73">
        <v>12300260138</v>
      </c>
      <c r="Q14" s="121" t="s">
        <v>11</v>
      </c>
      <c r="R14" s="73" t="s">
        <v>9</v>
      </c>
      <c r="S14" s="73" t="s">
        <v>8</v>
      </c>
      <c r="T14" s="73"/>
      <c r="U14" s="73"/>
      <c r="V14" s="74"/>
      <c r="W14" s="73"/>
      <c r="X14" s="74"/>
      <c r="Y14" s="74"/>
      <c r="Z14" s="73"/>
      <c r="AA14" s="74"/>
      <c r="AB14" s="73"/>
      <c r="AC14" s="73"/>
      <c r="AD14" s="74"/>
      <c r="AE14" s="73"/>
      <c r="AF14" s="73" t="s">
        <v>119</v>
      </c>
      <c r="AG14" s="74">
        <v>7</v>
      </c>
      <c r="AH14" s="73"/>
      <c r="AI14" s="73"/>
      <c r="AJ14" s="75"/>
    </row>
    <row r="15" spans="1:37" ht="13.5" thickBot="1" x14ac:dyDescent="0.25">
      <c r="A15" s="547"/>
      <c r="B15" s="528"/>
      <c r="C15" s="122" t="s">
        <v>4</v>
      </c>
      <c r="D15" s="91">
        <v>1</v>
      </c>
      <c r="E15" s="91" t="s">
        <v>5</v>
      </c>
      <c r="F15" s="91"/>
      <c r="G15" s="91" t="s">
        <v>6</v>
      </c>
      <c r="H15" s="91" t="s">
        <v>10</v>
      </c>
      <c r="I15" s="91">
        <v>45429</v>
      </c>
      <c r="J15" s="88" t="s">
        <v>59</v>
      </c>
      <c r="K15" s="88">
        <v>123456</v>
      </c>
      <c r="L15" s="88">
        <v>1</v>
      </c>
      <c r="M15" s="88">
        <v>1</v>
      </c>
      <c r="N15" s="88">
        <v>1</v>
      </c>
      <c r="O15" s="79">
        <v>55</v>
      </c>
      <c r="P15" s="88">
        <v>12300260138</v>
      </c>
      <c r="Q15" s="117" t="s">
        <v>11</v>
      </c>
      <c r="R15" s="80" t="s">
        <v>9</v>
      </c>
      <c r="S15" s="81" t="s">
        <v>13</v>
      </c>
      <c r="T15" s="88"/>
      <c r="U15" s="88"/>
      <c r="V15" s="89"/>
      <c r="W15" s="81" t="s">
        <v>16</v>
      </c>
      <c r="X15" s="79">
        <v>2</v>
      </c>
      <c r="Y15" s="82"/>
      <c r="Z15" s="88"/>
      <c r="AA15" s="89"/>
      <c r="AB15" s="88"/>
      <c r="AC15" s="88"/>
      <c r="AD15" s="89"/>
      <c r="AE15" s="78"/>
      <c r="AF15" s="83" t="s">
        <v>119</v>
      </c>
      <c r="AG15" s="208">
        <v>7</v>
      </c>
      <c r="AH15" s="88"/>
      <c r="AI15" s="88"/>
      <c r="AJ15" s="90"/>
    </row>
    <row r="16" spans="1:37" s="211" customFormat="1" ht="13.5" customHeight="1" thickBot="1" x14ac:dyDescent="0.3">
      <c r="A16" s="245"/>
      <c r="B16" s="246"/>
      <c r="C16" s="412"/>
      <c r="D16" s="247"/>
      <c r="E16" s="247"/>
      <c r="F16" s="247"/>
      <c r="G16" s="247"/>
      <c r="H16" s="247"/>
      <c r="I16" s="247"/>
      <c r="J16" s="247"/>
      <c r="K16" s="247"/>
      <c r="L16" s="247"/>
      <c r="M16" s="247"/>
      <c r="N16" s="247"/>
      <c r="O16" s="247"/>
      <c r="P16" s="248"/>
      <c r="Q16" s="249"/>
      <c r="R16" s="247"/>
      <c r="S16" s="247"/>
      <c r="T16" s="247"/>
      <c r="U16" s="247"/>
      <c r="V16" s="247"/>
      <c r="W16" s="248"/>
      <c r="X16" s="247"/>
      <c r="Y16" s="248"/>
      <c r="Z16" s="248"/>
      <c r="AA16" s="247"/>
      <c r="AB16" s="248"/>
      <c r="AC16" s="247"/>
      <c r="AD16" s="247"/>
      <c r="AE16" s="248"/>
      <c r="AF16" s="247"/>
      <c r="AG16" s="247"/>
      <c r="AH16" s="248"/>
      <c r="AI16" s="247"/>
      <c r="AJ16" s="413"/>
      <c r="AK16" s="404"/>
    </row>
    <row r="17" spans="1:37" ht="12.75" x14ac:dyDescent="0.2">
      <c r="A17" s="546">
        <v>4</v>
      </c>
      <c r="B17" s="527" t="s">
        <v>89</v>
      </c>
      <c r="C17" s="98" t="s">
        <v>4</v>
      </c>
      <c r="D17" s="72">
        <v>1</v>
      </c>
      <c r="E17" s="72" t="s">
        <v>5</v>
      </c>
      <c r="F17" s="72"/>
      <c r="G17" s="72" t="s">
        <v>6</v>
      </c>
      <c r="H17" s="72" t="s">
        <v>10</v>
      </c>
      <c r="I17" s="72">
        <v>45429</v>
      </c>
      <c r="J17" s="73" t="s">
        <v>59</v>
      </c>
      <c r="K17" s="73">
        <v>123456</v>
      </c>
      <c r="L17" s="73">
        <v>1</v>
      </c>
      <c r="M17" s="73">
        <v>1</v>
      </c>
      <c r="N17" s="73">
        <v>1</v>
      </c>
      <c r="O17" s="74">
        <v>5.75</v>
      </c>
      <c r="P17" s="118">
        <v>12300000949</v>
      </c>
      <c r="Q17" s="119" t="s">
        <v>17</v>
      </c>
      <c r="R17" s="73" t="s">
        <v>7</v>
      </c>
      <c r="S17" s="73" t="s">
        <v>8</v>
      </c>
      <c r="T17" s="73"/>
      <c r="U17" s="73"/>
      <c r="V17" s="74"/>
      <c r="W17" s="73"/>
      <c r="X17" s="74"/>
      <c r="Y17" s="74"/>
      <c r="Z17" s="73"/>
      <c r="AA17" s="74"/>
      <c r="AB17" s="73"/>
      <c r="AC17" s="73"/>
      <c r="AD17" s="74"/>
      <c r="AE17" s="73"/>
      <c r="AF17" s="73" t="s">
        <v>119</v>
      </c>
      <c r="AG17" s="74">
        <v>0.7</v>
      </c>
      <c r="AH17" s="73"/>
      <c r="AI17" s="73"/>
      <c r="AJ17" s="75"/>
    </row>
    <row r="18" spans="1:37" s="4" customFormat="1" ht="12.75" x14ac:dyDescent="0.2">
      <c r="A18" s="548"/>
      <c r="B18" s="549"/>
      <c r="C18" s="123" t="s">
        <v>4</v>
      </c>
      <c r="D18" s="14">
        <v>1</v>
      </c>
      <c r="E18" s="14" t="s">
        <v>5</v>
      </c>
      <c r="F18" s="14"/>
      <c r="G18" s="14" t="s">
        <v>6</v>
      </c>
      <c r="H18" s="14" t="s">
        <v>10</v>
      </c>
      <c r="I18" s="14">
        <v>45429</v>
      </c>
      <c r="J18" s="389" t="s">
        <v>59</v>
      </c>
      <c r="K18" s="389">
        <v>123456</v>
      </c>
      <c r="L18" s="389">
        <v>1</v>
      </c>
      <c r="M18" s="389">
        <v>1</v>
      </c>
      <c r="N18" s="389">
        <v>1</v>
      </c>
      <c r="O18" s="28">
        <v>5</v>
      </c>
      <c r="P18" s="389">
        <v>12300502603</v>
      </c>
      <c r="Q18" s="47" t="s">
        <v>12</v>
      </c>
      <c r="R18" s="389" t="s">
        <v>7</v>
      </c>
      <c r="S18" s="25" t="s">
        <v>13</v>
      </c>
      <c r="T18" s="389"/>
      <c r="U18" s="389"/>
      <c r="V18" s="26"/>
      <c r="W18" s="389"/>
      <c r="X18" s="26"/>
      <c r="Y18" s="28">
        <v>0.75</v>
      </c>
      <c r="Z18" s="389"/>
      <c r="AA18" s="26"/>
      <c r="AB18" s="389"/>
      <c r="AC18" s="389"/>
      <c r="AD18" s="26"/>
      <c r="AE18" s="25" t="s">
        <v>14</v>
      </c>
      <c r="AF18" s="59" t="s">
        <v>119</v>
      </c>
      <c r="AG18" s="207">
        <v>0.7</v>
      </c>
      <c r="AH18" s="389"/>
      <c r="AI18" s="389"/>
      <c r="AJ18" s="390"/>
      <c r="AK18" s="11"/>
    </row>
    <row r="19" spans="1:37" s="4" customFormat="1" ht="12.75" x14ac:dyDescent="0.2">
      <c r="A19" s="548"/>
      <c r="B19" s="549"/>
      <c r="C19" s="524"/>
      <c r="D19" s="525"/>
      <c r="E19" s="525"/>
      <c r="F19" s="525"/>
      <c r="G19" s="525"/>
      <c r="H19" s="525"/>
      <c r="I19" s="525"/>
      <c r="J19" s="525"/>
      <c r="K19" s="525"/>
      <c r="L19" s="525"/>
      <c r="M19" s="525"/>
      <c r="N19" s="525"/>
      <c r="O19" s="525"/>
      <c r="P19" s="525"/>
      <c r="Q19" s="525"/>
      <c r="R19" s="525"/>
      <c r="S19" s="525"/>
      <c r="T19" s="525"/>
      <c r="U19" s="525"/>
      <c r="V19" s="525"/>
      <c r="W19" s="525"/>
      <c r="X19" s="525"/>
      <c r="Y19" s="525"/>
      <c r="Z19" s="525"/>
      <c r="AA19" s="525"/>
      <c r="AB19" s="525"/>
      <c r="AC19" s="525"/>
      <c r="AD19" s="525"/>
      <c r="AE19" s="525"/>
      <c r="AF19" s="525"/>
      <c r="AG19" s="525"/>
      <c r="AH19" s="525"/>
      <c r="AI19" s="525"/>
      <c r="AJ19" s="526"/>
      <c r="AK19" s="11"/>
    </row>
    <row r="20" spans="1:37" s="4" customFormat="1" ht="12.75" x14ac:dyDescent="0.2">
      <c r="A20" s="548"/>
      <c r="B20" s="549"/>
      <c r="C20" s="99" t="s">
        <v>4</v>
      </c>
      <c r="D20" s="18">
        <v>1</v>
      </c>
      <c r="E20" s="18" t="s">
        <v>5</v>
      </c>
      <c r="F20" s="18"/>
      <c r="G20" s="18" t="s">
        <v>6</v>
      </c>
      <c r="H20" s="18" t="s">
        <v>10</v>
      </c>
      <c r="I20" s="18">
        <v>45429</v>
      </c>
      <c r="J20" s="29" t="s">
        <v>59</v>
      </c>
      <c r="K20" s="29">
        <v>123456</v>
      </c>
      <c r="L20" s="29">
        <v>1</v>
      </c>
      <c r="M20" s="29">
        <v>1</v>
      </c>
      <c r="N20" s="29">
        <v>1</v>
      </c>
      <c r="O20" s="30">
        <v>57.5</v>
      </c>
      <c r="P20" s="45">
        <v>12300194136</v>
      </c>
      <c r="Q20" s="48" t="s">
        <v>17</v>
      </c>
      <c r="R20" s="29" t="s">
        <v>9</v>
      </c>
      <c r="S20" s="29" t="s">
        <v>8</v>
      </c>
      <c r="T20" s="29"/>
      <c r="U20" s="29"/>
      <c r="V20" s="30"/>
      <c r="W20" s="29"/>
      <c r="X20" s="30"/>
      <c r="Y20" s="30"/>
      <c r="Z20" s="29"/>
      <c r="AA20" s="30"/>
      <c r="AB20" s="29"/>
      <c r="AC20" s="29"/>
      <c r="AD20" s="30"/>
      <c r="AE20" s="29"/>
      <c r="AF20" s="29" t="s">
        <v>119</v>
      </c>
      <c r="AG20" s="30">
        <v>7</v>
      </c>
      <c r="AH20" s="29"/>
      <c r="AI20" s="29"/>
      <c r="AJ20" s="76"/>
      <c r="AK20" s="11"/>
    </row>
    <row r="21" spans="1:37" ht="13.5" thickBot="1" x14ac:dyDescent="0.25">
      <c r="A21" s="547"/>
      <c r="B21" s="528"/>
      <c r="C21" s="122" t="s">
        <v>4</v>
      </c>
      <c r="D21" s="91">
        <v>1</v>
      </c>
      <c r="E21" s="91" t="s">
        <v>5</v>
      </c>
      <c r="F21" s="91"/>
      <c r="G21" s="91" t="s">
        <v>6</v>
      </c>
      <c r="H21" s="91" t="s">
        <v>10</v>
      </c>
      <c r="I21" s="91">
        <v>45429</v>
      </c>
      <c r="J21" s="88" t="s">
        <v>59</v>
      </c>
      <c r="K21" s="88">
        <v>123456</v>
      </c>
      <c r="L21" s="88">
        <v>1</v>
      </c>
      <c r="M21" s="88">
        <v>1</v>
      </c>
      <c r="N21" s="88">
        <v>1</v>
      </c>
      <c r="O21" s="79">
        <v>50</v>
      </c>
      <c r="P21" s="88">
        <v>12300502597</v>
      </c>
      <c r="Q21" s="120" t="s">
        <v>12</v>
      </c>
      <c r="R21" s="80" t="s">
        <v>9</v>
      </c>
      <c r="S21" s="81" t="s">
        <v>13</v>
      </c>
      <c r="T21" s="88"/>
      <c r="U21" s="88"/>
      <c r="V21" s="89"/>
      <c r="W21" s="88"/>
      <c r="X21" s="89"/>
      <c r="Y21" s="79">
        <v>7.5</v>
      </c>
      <c r="Z21" s="88"/>
      <c r="AA21" s="89"/>
      <c r="AB21" s="88"/>
      <c r="AC21" s="88"/>
      <c r="AD21" s="89"/>
      <c r="AE21" s="81" t="s">
        <v>54</v>
      </c>
      <c r="AF21" s="83" t="s">
        <v>119</v>
      </c>
      <c r="AG21" s="208">
        <v>7</v>
      </c>
      <c r="AH21" s="88"/>
      <c r="AI21" s="88"/>
      <c r="AJ21" s="90"/>
    </row>
    <row r="22" spans="1:37" s="211" customFormat="1" ht="13.5" customHeight="1" thickBot="1" x14ac:dyDescent="0.3">
      <c r="A22" s="245"/>
      <c r="B22" s="246"/>
      <c r="C22" s="412"/>
      <c r="D22" s="247"/>
      <c r="E22" s="247"/>
      <c r="F22" s="247"/>
      <c r="G22" s="247"/>
      <c r="H22" s="247"/>
      <c r="I22" s="247"/>
      <c r="J22" s="247"/>
      <c r="K22" s="247"/>
      <c r="L22" s="247"/>
      <c r="M22" s="247"/>
      <c r="N22" s="247"/>
      <c r="O22" s="247"/>
      <c r="P22" s="248"/>
      <c r="Q22" s="249"/>
      <c r="R22" s="247"/>
      <c r="S22" s="247"/>
      <c r="T22" s="247"/>
      <c r="U22" s="247"/>
      <c r="V22" s="247"/>
      <c r="W22" s="248"/>
      <c r="X22" s="247"/>
      <c r="Y22" s="248"/>
      <c r="Z22" s="248"/>
      <c r="AA22" s="247"/>
      <c r="AB22" s="248"/>
      <c r="AC22" s="247"/>
      <c r="AD22" s="247"/>
      <c r="AE22" s="248"/>
      <c r="AF22" s="247"/>
      <c r="AG22" s="247"/>
      <c r="AH22" s="248"/>
      <c r="AI22" s="247"/>
      <c r="AJ22" s="413"/>
      <c r="AK22" s="404"/>
    </row>
    <row r="23" spans="1:37" ht="12.75" x14ac:dyDescent="0.2">
      <c r="A23" s="542">
        <v>5</v>
      </c>
      <c r="B23" s="550" t="s">
        <v>90</v>
      </c>
      <c r="C23" s="98" t="s">
        <v>4</v>
      </c>
      <c r="D23" s="72">
        <v>1</v>
      </c>
      <c r="E23" s="72" t="s">
        <v>5</v>
      </c>
      <c r="F23" s="72"/>
      <c r="G23" s="72" t="s">
        <v>6</v>
      </c>
      <c r="H23" s="72" t="s">
        <v>10</v>
      </c>
      <c r="I23" s="72">
        <v>45429</v>
      </c>
      <c r="J23" s="73" t="s">
        <v>59</v>
      </c>
      <c r="K23" s="73">
        <v>123456</v>
      </c>
      <c r="L23" s="73">
        <v>1</v>
      </c>
      <c r="M23" s="73">
        <v>1</v>
      </c>
      <c r="N23" s="73">
        <v>1</v>
      </c>
      <c r="O23" s="74">
        <v>4.5</v>
      </c>
      <c r="P23" s="118">
        <v>42100011319</v>
      </c>
      <c r="Q23" s="119" t="s">
        <v>52</v>
      </c>
      <c r="R23" s="73" t="s">
        <v>73</v>
      </c>
      <c r="S23" s="73" t="s">
        <v>8</v>
      </c>
      <c r="T23" s="73"/>
      <c r="U23" s="73"/>
      <c r="V23" s="74"/>
      <c r="W23" s="73"/>
      <c r="X23" s="74"/>
      <c r="Y23" s="74"/>
      <c r="Z23" s="73"/>
      <c r="AA23" s="74"/>
      <c r="AB23" s="73"/>
      <c r="AC23" s="73"/>
      <c r="AD23" s="74"/>
      <c r="AE23" s="73"/>
      <c r="AF23" s="73" t="s">
        <v>119</v>
      </c>
      <c r="AG23" s="74">
        <v>0.5</v>
      </c>
      <c r="AH23" s="73"/>
      <c r="AI23" s="73"/>
      <c r="AJ23" s="75"/>
    </row>
    <row r="24" spans="1:37" s="4" customFormat="1" ht="13.5" thickBot="1" x14ac:dyDescent="0.25">
      <c r="A24" s="543"/>
      <c r="B24" s="551"/>
      <c r="C24" s="122" t="s">
        <v>4</v>
      </c>
      <c r="D24" s="91">
        <v>1</v>
      </c>
      <c r="E24" s="91" t="s">
        <v>5</v>
      </c>
      <c r="F24" s="91"/>
      <c r="G24" s="91" t="s">
        <v>6</v>
      </c>
      <c r="H24" s="91" t="s">
        <v>10</v>
      </c>
      <c r="I24" s="91">
        <v>45429</v>
      </c>
      <c r="J24" s="88" t="s">
        <v>59</v>
      </c>
      <c r="K24" s="88">
        <v>123456</v>
      </c>
      <c r="L24" s="88">
        <v>1</v>
      </c>
      <c r="M24" s="88">
        <v>1</v>
      </c>
      <c r="N24" s="88">
        <v>1</v>
      </c>
      <c r="O24" s="79">
        <v>4.5</v>
      </c>
      <c r="P24" s="88">
        <v>42100023343</v>
      </c>
      <c r="Q24" s="120" t="s">
        <v>50</v>
      </c>
      <c r="R24" s="88" t="s">
        <v>73</v>
      </c>
      <c r="S24" s="81" t="s">
        <v>13</v>
      </c>
      <c r="T24" s="88"/>
      <c r="U24" s="88"/>
      <c r="V24" s="89"/>
      <c r="W24" s="88"/>
      <c r="X24" s="89"/>
      <c r="Y24" s="79">
        <v>4.5</v>
      </c>
      <c r="Z24" s="88"/>
      <c r="AA24" s="89"/>
      <c r="AB24" s="88"/>
      <c r="AC24" s="88"/>
      <c r="AD24" s="89"/>
      <c r="AE24" s="81" t="s">
        <v>51</v>
      </c>
      <c r="AF24" s="83" t="s">
        <v>119</v>
      </c>
      <c r="AG24" s="208">
        <v>0.5</v>
      </c>
      <c r="AH24" s="88"/>
      <c r="AI24" s="88"/>
      <c r="AJ24" s="90"/>
      <c r="AK24" s="11"/>
    </row>
    <row r="25" spans="1:37" s="211" customFormat="1" ht="13.5" customHeight="1" thickBot="1" x14ac:dyDescent="0.3">
      <c r="A25" s="245"/>
      <c r="B25" s="246"/>
      <c r="C25" s="412"/>
      <c r="D25" s="247"/>
      <c r="E25" s="247"/>
      <c r="F25" s="247"/>
      <c r="G25" s="247"/>
      <c r="H25" s="247"/>
      <c r="I25" s="247"/>
      <c r="J25" s="247"/>
      <c r="K25" s="247"/>
      <c r="L25" s="247"/>
      <c r="M25" s="247"/>
      <c r="N25" s="247"/>
      <c r="O25" s="247"/>
      <c r="P25" s="248"/>
      <c r="Q25" s="249"/>
      <c r="R25" s="247"/>
      <c r="S25" s="247"/>
      <c r="T25" s="247"/>
      <c r="U25" s="247"/>
      <c r="V25" s="247"/>
      <c r="W25" s="248"/>
      <c r="X25" s="247"/>
      <c r="Y25" s="248"/>
      <c r="Z25" s="248"/>
      <c r="AA25" s="247"/>
      <c r="AB25" s="248"/>
      <c r="AC25" s="247"/>
      <c r="AD25" s="247"/>
      <c r="AE25" s="248"/>
      <c r="AF25" s="247"/>
      <c r="AG25" s="247"/>
      <c r="AH25" s="248"/>
      <c r="AI25" s="247"/>
      <c r="AJ25" s="413"/>
      <c r="AK25" s="404"/>
    </row>
    <row r="26" spans="1:37" ht="12.75" x14ac:dyDescent="0.2">
      <c r="A26" s="546">
        <v>6</v>
      </c>
      <c r="B26" s="550" t="s">
        <v>120</v>
      </c>
      <c r="C26" s="98" t="s">
        <v>4</v>
      </c>
      <c r="D26" s="72">
        <v>1</v>
      </c>
      <c r="E26" s="72" t="s">
        <v>5</v>
      </c>
      <c r="F26" s="72"/>
      <c r="G26" s="72" t="s">
        <v>6</v>
      </c>
      <c r="H26" s="72" t="s">
        <v>10</v>
      </c>
      <c r="I26" s="72">
        <v>45429</v>
      </c>
      <c r="J26" s="73" t="s">
        <v>59</v>
      </c>
      <c r="K26" s="73">
        <v>123456</v>
      </c>
      <c r="L26" s="73">
        <v>1</v>
      </c>
      <c r="M26" s="73">
        <v>1</v>
      </c>
      <c r="N26" s="73">
        <v>1</v>
      </c>
      <c r="O26" s="74">
        <v>4.5</v>
      </c>
      <c r="P26" s="118">
        <v>42100011760</v>
      </c>
      <c r="Q26" s="119" t="s">
        <v>57</v>
      </c>
      <c r="R26" s="73" t="s">
        <v>73</v>
      </c>
      <c r="S26" s="73" t="s">
        <v>8</v>
      </c>
      <c r="T26" s="73"/>
      <c r="U26" s="73"/>
      <c r="V26" s="74"/>
      <c r="W26" s="73"/>
      <c r="X26" s="74"/>
      <c r="Y26" s="74"/>
      <c r="Z26" s="73"/>
      <c r="AA26" s="74"/>
      <c r="AB26" s="73"/>
      <c r="AC26" s="73"/>
      <c r="AD26" s="74"/>
      <c r="AE26" s="73"/>
      <c r="AF26" s="73" t="s">
        <v>119</v>
      </c>
      <c r="AG26" s="74">
        <v>0.5</v>
      </c>
      <c r="AH26" s="73"/>
      <c r="AI26" s="73"/>
      <c r="AJ26" s="75"/>
    </row>
    <row r="27" spans="1:37" s="4" customFormat="1" ht="31.5" customHeight="1" thickBot="1" x14ac:dyDescent="0.25">
      <c r="A27" s="547"/>
      <c r="B27" s="551"/>
      <c r="C27" s="122" t="s">
        <v>4</v>
      </c>
      <c r="D27" s="91">
        <v>1</v>
      </c>
      <c r="E27" s="91" t="s">
        <v>5</v>
      </c>
      <c r="F27" s="91"/>
      <c r="G27" s="91" t="s">
        <v>6</v>
      </c>
      <c r="H27" s="91" t="s">
        <v>10</v>
      </c>
      <c r="I27" s="91">
        <v>45429</v>
      </c>
      <c r="J27" s="88" t="s">
        <v>59</v>
      </c>
      <c r="K27" s="88">
        <v>123456</v>
      </c>
      <c r="L27" s="88">
        <v>1</v>
      </c>
      <c r="M27" s="88">
        <v>1</v>
      </c>
      <c r="N27" s="88">
        <v>1</v>
      </c>
      <c r="O27" s="79">
        <v>8</v>
      </c>
      <c r="P27" s="88">
        <v>42100023305</v>
      </c>
      <c r="Q27" s="120" t="s">
        <v>55</v>
      </c>
      <c r="R27" s="88" t="s">
        <v>73</v>
      </c>
      <c r="S27" s="81" t="s">
        <v>13</v>
      </c>
      <c r="T27" s="88"/>
      <c r="U27" s="88"/>
      <c r="V27" s="89"/>
      <c r="W27" s="88"/>
      <c r="X27" s="89"/>
      <c r="Y27" s="79">
        <v>1</v>
      </c>
      <c r="Z27" s="88"/>
      <c r="AA27" s="89"/>
      <c r="AB27" s="88"/>
      <c r="AC27" s="88"/>
      <c r="AD27" s="89"/>
      <c r="AE27" s="81" t="s">
        <v>56</v>
      </c>
      <c r="AF27" s="83" t="s">
        <v>119</v>
      </c>
      <c r="AG27" s="208">
        <v>0.5</v>
      </c>
      <c r="AH27" s="88"/>
      <c r="AI27" s="88"/>
      <c r="AJ27" s="90"/>
      <c r="AK27" s="11"/>
    </row>
    <row r="28" spans="1:37" s="211" customFormat="1" ht="13.5" customHeight="1" thickBot="1" x14ac:dyDescent="0.3">
      <c r="A28" s="245"/>
      <c r="B28" s="246"/>
      <c r="C28" s="412"/>
      <c r="D28" s="247"/>
      <c r="E28" s="247"/>
      <c r="F28" s="247"/>
      <c r="G28" s="247"/>
      <c r="H28" s="247"/>
      <c r="I28" s="247"/>
      <c r="J28" s="247"/>
      <c r="K28" s="247"/>
      <c r="L28" s="247"/>
      <c r="M28" s="247"/>
      <c r="N28" s="247"/>
      <c r="O28" s="247"/>
      <c r="P28" s="248"/>
      <c r="Q28" s="249"/>
      <c r="R28" s="247"/>
      <c r="S28" s="247"/>
      <c r="T28" s="247"/>
      <c r="U28" s="247"/>
      <c r="V28" s="247"/>
      <c r="W28" s="248"/>
      <c r="X28" s="247"/>
      <c r="Y28" s="248"/>
      <c r="Z28" s="248"/>
      <c r="AA28" s="247"/>
      <c r="AB28" s="248"/>
      <c r="AC28" s="247"/>
      <c r="AD28" s="247"/>
      <c r="AE28" s="248"/>
      <c r="AF28" s="247"/>
      <c r="AG28" s="247"/>
      <c r="AH28" s="248"/>
      <c r="AI28" s="247"/>
      <c r="AJ28" s="413"/>
      <c r="AK28" s="404"/>
    </row>
    <row r="29" spans="1:37" ht="12.75" x14ac:dyDescent="0.2">
      <c r="A29" s="552">
        <v>7</v>
      </c>
      <c r="B29" s="550" t="s">
        <v>117</v>
      </c>
      <c r="C29" s="98" t="s">
        <v>4</v>
      </c>
      <c r="D29" s="72">
        <v>1</v>
      </c>
      <c r="E29" s="72" t="s">
        <v>5</v>
      </c>
      <c r="F29" s="72"/>
      <c r="G29" s="72" t="s">
        <v>6</v>
      </c>
      <c r="H29" s="72" t="s">
        <v>10</v>
      </c>
      <c r="I29" s="72">
        <v>45429</v>
      </c>
      <c r="J29" s="73" t="s">
        <v>59</v>
      </c>
      <c r="K29" s="73">
        <v>123456</v>
      </c>
      <c r="L29" s="73">
        <v>1</v>
      </c>
      <c r="M29" s="73">
        <v>1</v>
      </c>
      <c r="N29" s="73">
        <v>1</v>
      </c>
      <c r="O29" s="74">
        <v>5.25</v>
      </c>
      <c r="P29" s="72">
        <v>27200004171</v>
      </c>
      <c r="Q29" s="72" t="s">
        <v>65</v>
      </c>
      <c r="R29" s="73" t="s">
        <v>7</v>
      </c>
      <c r="S29" s="73" t="s">
        <v>8</v>
      </c>
      <c r="T29" s="73"/>
      <c r="U29" s="73"/>
      <c r="V29" s="74"/>
      <c r="W29" s="73"/>
      <c r="X29" s="74"/>
      <c r="Y29" s="74"/>
      <c r="Z29" s="73"/>
      <c r="AA29" s="74"/>
      <c r="AB29" s="73"/>
      <c r="AC29" s="73"/>
      <c r="AD29" s="74"/>
      <c r="AE29" s="73"/>
      <c r="AF29" s="73" t="s">
        <v>119</v>
      </c>
      <c r="AG29" s="74">
        <v>1</v>
      </c>
      <c r="AH29" s="73"/>
      <c r="AI29" s="73"/>
      <c r="AJ29" s="75"/>
    </row>
    <row r="30" spans="1:37" s="10" customFormat="1" ht="13.5" thickBot="1" x14ac:dyDescent="0.25">
      <c r="A30" s="553"/>
      <c r="B30" s="551"/>
      <c r="C30" s="122" t="s">
        <v>4</v>
      </c>
      <c r="D30" s="91">
        <v>1</v>
      </c>
      <c r="E30" s="91" t="s">
        <v>5</v>
      </c>
      <c r="F30" s="91"/>
      <c r="G30" s="91" t="s">
        <v>6</v>
      </c>
      <c r="H30" s="91" t="s">
        <v>10</v>
      </c>
      <c r="I30" s="91">
        <v>45429</v>
      </c>
      <c r="J30" s="88" t="s">
        <v>59</v>
      </c>
      <c r="K30" s="88">
        <v>123456</v>
      </c>
      <c r="L30" s="88">
        <v>1</v>
      </c>
      <c r="M30" s="88">
        <v>1</v>
      </c>
      <c r="N30" s="88">
        <v>1</v>
      </c>
      <c r="O30" s="79">
        <v>5.05</v>
      </c>
      <c r="P30" s="124">
        <v>27200004171</v>
      </c>
      <c r="Q30" s="120" t="s">
        <v>65</v>
      </c>
      <c r="R30" s="88" t="s">
        <v>7</v>
      </c>
      <c r="S30" s="81" t="s">
        <v>13</v>
      </c>
      <c r="T30" s="88"/>
      <c r="U30" s="88"/>
      <c r="V30" s="89"/>
      <c r="W30" s="88"/>
      <c r="X30" s="89"/>
      <c r="Y30" s="79">
        <v>0.2</v>
      </c>
      <c r="Z30" s="88"/>
      <c r="AA30" s="89"/>
      <c r="AB30" s="88"/>
      <c r="AC30" s="88"/>
      <c r="AD30" s="89"/>
      <c r="AE30" s="81" t="s">
        <v>118</v>
      </c>
      <c r="AF30" s="83" t="s">
        <v>119</v>
      </c>
      <c r="AG30" s="208">
        <v>1</v>
      </c>
      <c r="AH30" s="88"/>
      <c r="AI30" s="88"/>
      <c r="AJ30" s="90"/>
      <c r="AK30" s="11"/>
    </row>
    <row r="31" spans="1:37" s="211" customFormat="1" ht="13.5" customHeight="1" thickBot="1" x14ac:dyDescent="0.3">
      <c r="A31" s="245"/>
      <c r="B31" s="246"/>
      <c r="C31" s="412"/>
      <c r="D31" s="247"/>
      <c r="E31" s="247"/>
      <c r="F31" s="247"/>
      <c r="G31" s="247"/>
      <c r="H31" s="247"/>
      <c r="I31" s="247"/>
      <c r="J31" s="247"/>
      <c r="K31" s="247"/>
      <c r="L31" s="247"/>
      <c r="M31" s="247"/>
      <c r="N31" s="247"/>
      <c r="O31" s="247"/>
      <c r="P31" s="248"/>
      <c r="Q31" s="249"/>
      <c r="R31" s="247"/>
      <c r="S31" s="247"/>
      <c r="T31" s="247"/>
      <c r="U31" s="247"/>
      <c r="V31" s="247"/>
      <c r="W31" s="248"/>
      <c r="X31" s="247"/>
      <c r="Y31" s="248"/>
      <c r="Z31" s="248"/>
      <c r="AA31" s="247"/>
      <c r="AB31" s="248"/>
      <c r="AC31" s="247"/>
      <c r="AD31" s="247"/>
      <c r="AE31" s="248"/>
      <c r="AF31" s="247"/>
      <c r="AG31" s="247"/>
      <c r="AH31" s="248"/>
      <c r="AI31" s="247"/>
      <c r="AJ31" s="413"/>
      <c r="AK31" s="404"/>
    </row>
    <row r="32" spans="1:37" ht="12.75" x14ac:dyDescent="0.2">
      <c r="A32" s="546">
        <v>8</v>
      </c>
      <c r="B32" s="527" t="s">
        <v>91</v>
      </c>
      <c r="C32" s="98" t="s">
        <v>4</v>
      </c>
      <c r="D32" s="72">
        <v>1</v>
      </c>
      <c r="E32" s="72" t="s">
        <v>5</v>
      </c>
      <c r="F32" s="72"/>
      <c r="G32" s="72" t="s">
        <v>6</v>
      </c>
      <c r="H32" s="72" t="s">
        <v>10</v>
      </c>
      <c r="I32" s="72">
        <v>45429</v>
      </c>
      <c r="J32" s="73" t="s">
        <v>59</v>
      </c>
      <c r="K32" s="73">
        <v>123456</v>
      </c>
      <c r="L32" s="73">
        <v>1</v>
      </c>
      <c r="M32" s="73">
        <v>1</v>
      </c>
      <c r="N32" s="73">
        <v>1</v>
      </c>
      <c r="O32" s="74">
        <v>5.7</v>
      </c>
      <c r="P32" s="73">
        <v>1230020608</v>
      </c>
      <c r="Q32" s="121" t="s">
        <v>11</v>
      </c>
      <c r="R32" s="73" t="s">
        <v>7</v>
      </c>
      <c r="S32" s="73" t="s">
        <v>8</v>
      </c>
      <c r="T32" s="73"/>
      <c r="U32" s="73"/>
      <c r="V32" s="74"/>
      <c r="W32" s="73"/>
      <c r="X32" s="74"/>
      <c r="Y32" s="74"/>
      <c r="Z32" s="73"/>
      <c r="AA32" s="74"/>
      <c r="AB32" s="73"/>
      <c r="AC32" s="73"/>
      <c r="AD32" s="74"/>
      <c r="AE32" s="73"/>
      <c r="AF32" s="73" t="s">
        <v>119</v>
      </c>
      <c r="AG32" s="74">
        <v>0.7</v>
      </c>
      <c r="AH32" s="73"/>
      <c r="AI32" s="73"/>
      <c r="AJ32" s="75"/>
    </row>
    <row r="33" spans="1:37" ht="12.75" x14ac:dyDescent="0.2">
      <c r="A33" s="548"/>
      <c r="B33" s="549"/>
      <c r="C33" s="123" t="s">
        <v>4</v>
      </c>
      <c r="D33" s="14">
        <v>1</v>
      </c>
      <c r="E33" s="14" t="s">
        <v>5</v>
      </c>
      <c r="F33" s="14"/>
      <c r="G33" s="14" t="s">
        <v>6</v>
      </c>
      <c r="H33" s="14" t="s">
        <v>10</v>
      </c>
      <c r="I33" s="14">
        <v>45429</v>
      </c>
      <c r="J33" s="389" t="s">
        <v>59</v>
      </c>
      <c r="K33" s="389">
        <v>123456</v>
      </c>
      <c r="L33" s="389">
        <v>1</v>
      </c>
      <c r="M33" s="389">
        <v>1</v>
      </c>
      <c r="N33" s="389">
        <v>1</v>
      </c>
      <c r="O33" s="28">
        <v>5.7</v>
      </c>
      <c r="P33" s="389">
        <v>1230020608</v>
      </c>
      <c r="Q33" s="46" t="s">
        <v>11</v>
      </c>
      <c r="R33" s="389" t="s">
        <v>7</v>
      </c>
      <c r="S33" s="19" t="s">
        <v>8</v>
      </c>
      <c r="T33" s="389"/>
      <c r="U33" s="389"/>
      <c r="V33" s="26"/>
      <c r="W33" s="389"/>
      <c r="X33" s="26"/>
      <c r="Y33" s="27"/>
      <c r="Z33" s="389"/>
      <c r="AA33" s="26"/>
      <c r="AB33" s="389"/>
      <c r="AC33" s="389"/>
      <c r="AD33" s="26"/>
      <c r="AE33" s="19"/>
      <c r="AF33" s="59" t="s">
        <v>119</v>
      </c>
      <c r="AG33" s="207">
        <v>0.7</v>
      </c>
      <c r="AH33" s="389"/>
      <c r="AI33" s="389"/>
      <c r="AJ33" s="390"/>
    </row>
    <row r="34" spans="1:37" ht="12.75" x14ac:dyDescent="0.2">
      <c r="A34" s="548"/>
      <c r="B34" s="549"/>
      <c r="C34" s="524"/>
      <c r="D34" s="525"/>
      <c r="E34" s="525"/>
      <c r="F34" s="525"/>
      <c r="G34" s="525"/>
      <c r="H34" s="525"/>
      <c r="I34" s="525"/>
      <c r="J34" s="525"/>
      <c r="K34" s="525"/>
      <c r="L34" s="525"/>
      <c r="M34" s="525"/>
      <c r="N34" s="525"/>
      <c r="O34" s="525"/>
      <c r="P34" s="525"/>
      <c r="Q34" s="525"/>
      <c r="R34" s="525"/>
      <c r="S34" s="525"/>
      <c r="T34" s="525"/>
      <c r="U34" s="525"/>
      <c r="V34" s="525"/>
      <c r="W34" s="525"/>
      <c r="X34" s="525"/>
      <c r="Y34" s="525"/>
      <c r="Z34" s="525"/>
      <c r="AA34" s="525"/>
      <c r="AB34" s="525"/>
      <c r="AC34" s="525"/>
      <c r="AD34" s="525"/>
      <c r="AE34" s="525"/>
      <c r="AF34" s="525"/>
      <c r="AG34" s="525"/>
      <c r="AH34" s="525"/>
      <c r="AI34" s="525"/>
      <c r="AJ34" s="526"/>
    </row>
    <row r="35" spans="1:37" ht="12.75" x14ac:dyDescent="0.2">
      <c r="A35" s="548"/>
      <c r="B35" s="549"/>
      <c r="C35" s="99" t="s">
        <v>4</v>
      </c>
      <c r="D35" s="18">
        <v>1</v>
      </c>
      <c r="E35" s="18" t="s">
        <v>5</v>
      </c>
      <c r="F35" s="18"/>
      <c r="G35" s="18" t="s">
        <v>6</v>
      </c>
      <c r="H35" s="18" t="s">
        <v>10</v>
      </c>
      <c r="I35" s="18">
        <v>45429</v>
      </c>
      <c r="J35" s="29" t="s">
        <v>59</v>
      </c>
      <c r="K35" s="29">
        <v>123456</v>
      </c>
      <c r="L35" s="29">
        <v>1</v>
      </c>
      <c r="M35" s="29">
        <v>1</v>
      </c>
      <c r="N35" s="29">
        <v>1</v>
      </c>
      <c r="O35" s="30">
        <v>57</v>
      </c>
      <c r="P35" s="29">
        <v>12300260138</v>
      </c>
      <c r="Q35" s="49" t="s">
        <v>11</v>
      </c>
      <c r="R35" s="29" t="s">
        <v>9</v>
      </c>
      <c r="S35" s="29" t="s">
        <v>8</v>
      </c>
      <c r="T35" s="29"/>
      <c r="U35" s="29"/>
      <c r="V35" s="30"/>
      <c r="W35" s="29"/>
      <c r="X35" s="30"/>
      <c r="Y35" s="30"/>
      <c r="Z35" s="29"/>
      <c r="AA35" s="30"/>
      <c r="AB35" s="29"/>
      <c r="AC35" s="29"/>
      <c r="AD35" s="30"/>
      <c r="AE35" s="29"/>
      <c r="AF35" s="29" t="s">
        <v>119</v>
      </c>
      <c r="AG35" s="30">
        <v>7</v>
      </c>
      <c r="AH35" s="29"/>
      <c r="AI35" s="29"/>
      <c r="AJ35" s="76"/>
    </row>
    <row r="36" spans="1:37" ht="13.5" thickBot="1" x14ac:dyDescent="0.25">
      <c r="A36" s="547"/>
      <c r="B36" s="528"/>
      <c r="C36" s="122" t="s">
        <v>4</v>
      </c>
      <c r="D36" s="91">
        <v>1</v>
      </c>
      <c r="E36" s="91" t="s">
        <v>5</v>
      </c>
      <c r="F36" s="91"/>
      <c r="G36" s="91" t="s">
        <v>6</v>
      </c>
      <c r="H36" s="91" t="s">
        <v>10</v>
      </c>
      <c r="I36" s="91">
        <v>45429</v>
      </c>
      <c r="J36" s="88" t="s">
        <v>59</v>
      </c>
      <c r="K36" s="88">
        <v>123456</v>
      </c>
      <c r="L36" s="88">
        <v>1</v>
      </c>
      <c r="M36" s="88">
        <v>1</v>
      </c>
      <c r="N36" s="88">
        <v>1</v>
      </c>
      <c r="O36" s="79">
        <v>57</v>
      </c>
      <c r="P36" s="88">
        <v>12300260138</v>
      </c>
      <c r="Q36" s="117" t="s">
        <v>11</v>
      </c>
      <c r="R36" s="80" t="s">
        <v>9</v>
      </c>
      <c r="S36" s="78" t="s">
        <v>8</v>
      </c>
      <c r="T36" s="88"/>
      <c r="U36" s="88"/>
      <c r="V36" s="89"/>
      <c r="W36" s="88"/>
      <c r="X36" s="89"/>
      <c r="Y36" s="82"/>
      <c r="Z36" s="88"/>
      <c r="AA36" s="89"/>
      <c r="AB36" s="88"/>
      <c r="AC36" s="88"/>
      <c r="AD36" s="89"/>
      <c r="AE36" s="78"/>
      <c r="AF36" s="83" t="s">
        <v>119</v>
      </c>
      <c r="AG36" s="208">
        <v>7</v>
      </c>
      <c r="AH36" s="88"/>
      <c r="AI36" s="88"/>
      <c r="AJ36" s="90"/>
    </row>
    <row r="37" spans="1:37" s="211" customFormat="1" ht="13.5" customHeight="1" thickBot="1" x14ac:dyDescent="0.3">
      <c r="A37" s="245"/>
      <c r="B37" s="246"/>
      <c r="C37" s="412"/>
      <c r="D37" s="247"/>
      <c r="E37" s="247"/>
      <c r="F37" s="247"/>
      <c r="G37" s="247"/>
      <c r="H37" s="247"/>
      <c r="I37" s="247"/>
      <c r="J37" s="247"/>
      <c r="K37" s="247"/>
      <c r="L37" s="247"/>
      <c r="M37" s="247"/>
      <c r="N37" s="247"/>
      <c r="O37" s="247"/>
      <c r="P37" s="248"/>
      <c r="Q37" s="249"/>
      <c r="R37" s="247"/>
      <c r="S37" s="247"/>
      <c r="T37" s="247"/>
      <c r="U37" s="247"/>
      <c r="V37" s="247"/>
      <c r="W37" s="248"/>
      <c r="X37" s="247"/>
      <c r="Y37" s="248"/>
      <c r="Z37" s="248"/>
      <c r="AA37" s="247"/>
      <c r="AB37" s="248"/>
      <c r="AC37" s="247"/>
      <c r="AD37" s="247"/>
      <c r="AE37" s="248"/>
      <c r="AF37" s="247"/>
      <c r="AG37" s="247"/>
      <c r="AH37" s="248"/>
      <c r="AI37" s="247"/>
      <c r="AJ37" s="413"/>
      <c r="AK37" s="404"/>
    </row>
    <row r="38" spans="1:37" ht="12.75" x14ac:dyDescent="0.2">
      <c r="A38" s="542">
        <v>9</v>
      </c>
      <c r="B38" s="564" t="s">
        <v>333</v>
      </c>
      <c r="C38" s="125" t="s">
        <v>4</v>
      </c>
      <c r="D38" s="126">
        <v>1</v>
      </c>
      <c r="E38" s="126" t="s">
        <v>5</v>
      </c>
      <c r="F38" s="126"/>
      <c r="G38" s="126" t="s">
        <v>6</v>
      </c>
      <c r="H38" s="126" t="s">
        <v>10</v>
      </c>
      <c r="I38" s="126">
        <v>45429</v>
      </c>
      <c r="J38" s="126" t="s">
        <v>59</v>
      </c>
      <c r="K38" s="126">
        <v>123456</v>
      </c>
      <c r="L38" s="126">
        <v>1</v>
      </c>
      <c r="M38" s="126">
        <v>1</v>
      </c>
      <c r="N38" s="126">
        <v>1</v>
      </c>
      <c r="O38" s="127">
        <v>5.7</v>
      </c>
      <c r="P38" s="128">
        <v>1230020608</v>
      </c>
      <c r="Q38" s="141" t="s">
        <v>11</v>
      </c>
      <c r="R38" s="126" t="s">
        <v>7</v>
      </c>
      <c r="S38" s="126" t="s">
        <v>8</v>
      </c>
      <c r="T38" s="126"/>
      <c r="U38" s="126"/>
      <c r="V38" s="127"/>
      <c r="W38" s="126"/>
      <c r="X38" s="127"/>
      <c r="Y38" s="127"/>
      <c r="Z38" s="126"/>
      <c r="AA38" s="127"/>
      <c r="AB38" s="126"/>
      <c r="AC38" s="126"/>
      <c r="AD38" s="127"/>
      <c r="AE38" s="126"/>
      <c r="AF38" s="126" t="s">
        <v>119</v>
      </c>
      <c r="AG38" s="127">
        <v>0.7</v>
      </c>
      <c r="AH38" s="126"/>
      <c r="AI38" s="126"/>
      <c r="AJ38" s="129"/>
    </row>
    <row r="39" spans="1:37" ht="22.9" customHeight="1" thickBot="1" x14ac:dyDescent="0.25">
      <c r="A39" s="543"/>
      <c r="B39" s="565"/>
      <c r="C39" s="130" t="s">
        <v>4</v>
      </c>
      <c r="D39" s="131">
        <v>1</v>
      </c>
      <c r="E39" s="131" t="s">
        <v>5</v>
      </c>
      <c r="F39" s="131"/>
      <c r="G39" s="131" t="s">
        <v>6</v>
      </c>
      <c r="H39" s="131" t="s">
        <v>10</v>
      </c>
      <c r="I39" s="131">
        <v>45429</v>
      </c>
      <c r="J39" s="131" t="s">
        <v>59</v>
      </c>
      <c r="K39" s="131">
        <v>123456</v>
      </c>
      <c r="L39" s="131">
        <v>1</v>
      </c>
      <c r="M39" s="131">
        <v>1</v>
      </c>
      <c r="N39" s="131">
        <v>1</v>
      </c>
      <c r="O39" s="132">
        <v>4.7</v>
      </c>
      <c r="P39" s="133">
        <v>1230020608</v>
      </c>
      <c r="Q39" s="423" t="s">
        <v>11</v>
      </c>
      <c r="R39" s="131" t="s">
        <v>7</v>
      </c>
      <c r="S39" s="137" t="s">
        <v>13</v>
      </c>
      <c r="T39" s="131"/>
      <c r="U39" s="131"/>
      <c r="V39" s="135"/>
      <c r="W39" s="131"/>
      <c r="X39" s="135"/>
      <c r="Y39" s="136"/>
      <c r="Z39" s="137" t="s">
        <v>70</v>
      </c>
      <c r="AA39" s="132">
        <v>1</v>
      </c>
      <c r="AB39" s="131"/>
      <c r="AC39" s="131"/>
      <c r="AD39" s="135"/>
      <c r="AE39" s="134"/>
      <c r="AF39" s="425" t="s">
        <v>119</v>
      </c>
      <c r="AG39" s="426">
        <v>0.7</v>
      </c>
      <c r="AH39" s="131"/>
      <c r="AI39" s="131"/>
      <c r="AJ39" s="138"/>
    </row>
    <row r="40" spans="1:37" s="211" customFormat="1" ht="13.5" customHeight="1" thickBot="1" x14ac:dyDescent="0.3">
      <c r="A40" s="245"/>
      <c r="B40" s="246"/>
      <c r="C40" s="412"/>
      <c r="D40" s="247"/>
      <c r="E40" s="247"/>
      <c r="F40" s="247"/>
      <c r="G40" s="247"/>
      <c r="H40" s="247"/>
      <c r="I40" s="247"/>
      <c r="J40" s="247"/>
      <c r="K40" s="247"/>
      <c r="L40" s="247"/>
      <c r="M40" s="247"/>
      <c r="N40" s="247"/>
      <c r="O40" s="247"/>
      <c r="P40" s="248"/>
      <c r="Q40" s="249"/>
      <c r="R40" s="247"/>
      <c r="S40" s="247"/>
      <c r="T40" s="247"/>
      <c r="U40" s="247"/>
      <c r="V40" s="247"/>
      <c r="W40" s="248"/>
      <c r="X40" s="247"/>
      <c r="Y40" s="248"/>
      <c r="Z40" s="248"/>
      <c r="AA40" s="247"/>
      <c r="AB40" s="248"/>
      <c r="AC40" s="247"/>
      <c r="AD40" s="247"/>
      <c r="AE40" s="248"/>
      <c r="AF40" s="247"/>
      <c r="AG40" s="247"/>
      <c r="AH40" s="248"/>
      <c r="AI40" s="247"/>
      <c r="AJ40" s="413"/>
      <c r="AK40" s="404"/>
    </row>
    <row r="41" spans="1:37" ht="12.75" x14ac:dyDescent="0.2">
      <c r="A41" s="560">
        <v>10</v>
      </c>
      <c r="B41" s="562" t="s">
        <v>335</v>
      </c>
      <c r="C41" s="139" t="s">
        <v>4</v>
      </c>
      <c r="D41" s="140">
        <v>1</v>
      </c>
      <c r="E41" s="140" t="s">
        <v>5</v>
      </c>
      <c r="F41" s="140"/>
      <c r="G41" s="140" t="s">
        <v>6</v>
      </c>
      <c r="H41" s="140" t="s">
        <v>10</v>
      </c>
      <c r="I41" s="140">
        <v>45429</v>
      </c>
      <c r="J41" s="126" t="s">
        <v>59</v>
      </c>
      <c r="K41" s="126">
        <v>123456</v>
      </c>
      <c r="L41" s="126">
        <v>1</v>
      </c>
      <c r="M41" s="126">
        <v>1</v>
      </c>
      <c r="N41" s="126">
        <v>1</v>
      </c>
      <c r="O41" s="127">
        <v>5</v>
      </c>
      <c r="P41" s="126">
        <v>12300502603</v>
      </c>
      <c r="Q41" s="141" t="s">
        <v>12</v>
      </c>
      <c r="R41" s="126" t="s">
        <v>7</v>
      </c>
      <c r="S41" s="126" t="s">
        <v>13</v>
      </c>
      <c r="T41" s="126"/>
      <c r="U41" s="126"/>
      <c r="V41" s="127"/>
      <c r="W41" s="126"/>
      <c r="X41" s="127"/>
      <c r="Y41" s="143">
        <v>0.75</v>
      </c>
      <c r="Z41" s="126"/>
      <c r="AA41" s="127"/>
      <c r="AB41" s="126"/>
      <c r="AC41" s="126"/>
      <c r="AD41" s="127"/>
      <c r="AE41" s="142" t="s">
        <v>14</v>
      </c>
      <c r="AF41" s="126" t="s">
        <v>119</v>
      </c>
      <c r="AG41" s="127">
        <v>0.7</v>
      </c>
      <c r="AH41" s="126"/>
      <c r="AI41" s="126"/>
      <c r="AJ41" s="129"/>
    </row>
    <row r="42" spans="1:37" ht="13.5" thickBot="1" x14ac:dyDescent="0.25">
      <c r="A42" s="561"/>
      <c r="B42" s="563"/>
      <c r="C42" s="144" t="s">
        <v>4</v>
      </c>
      <c r="D42" s="145">
        <v>1</v>
      </c>
      <c r="E42" s="145" t="s">
        <v>5</v>
      </c>
      <c r="F42" s="145"/>
      <c r="G42" s="145" t="s">
        <v>6</v>
      </c>
      <c r="H42" s="145" t="s">
        <v>10</v>
      </c>
      <c r="I42" s="145">
        <v>45429</v>
      </c>
      <c r="J42" s="131" t="s">
        <v>59</v>
      </c>
      <c r="K42" s="131">
        <v>123456</v>
      </c>
      <c r="L42" s="131">
        <v>1</v>
      </c>
      <c r="M42" s="131">
        <v>1</v>
      </c>
      <c r="N42" s="131">
        <v>1</v>
      </c>
      <c r="O42" s="132">
        <v>4</v>
      </c>
      <c r="P42" s="131">
        <v>12300502603</v>
      </c>
      <c r="Q42" s="146" t="s">
        <v>12</v>
      </c>
      <c r="R42" s="131" t="s">
        <v>7</v>
      </c>
      <c r="S42" s="137" t="s">
        <v>13</v>
      </c>
      <c r="T42" s="131"/>
      <c r="U42" s="131"/>
      <c r="V42" s="135"/>
      <c r="W42" s="131"/>
      <c r="X42" s="135"/>
      <c r="Y42" s="132">
        <v>0.75</v>
      </c>
      <c r="Z42" s="137">
        <v>123456</v>
      </c>
      <c r="AA42" s="132">
        <v>1</v>
      </c>
      <c r="AB42" s="131"/>
      <c r="AC42" s="131"/>
      <c r="AD42" s="135"/>
      <c r="AE42" s="137" t="s">
        <v>14</v>
      </c>
      <c r="AF42" s="425" t="s">
        <v>119</v>
      </c>
      <c r="AG42" s="426">
        <v>0.7</v>
      </c>
      <c r="AH42" s="131"/>
      <c r="AI42" s="131"/>
      <c r="AJ42" s="147"/>
    </row>
    <row r="43" spans="1:37" s="211" customFormat="1" ht="13.5" customHeight="1" thickBot="1" x14ac:dyDescent="0.3">
      <c r="A43" s="245"/>
      <c r="B43" s="246"/>
      <c r="C43" s="412"/>
      <c r="D43" s="247"/>
      <c r="E43" s="247"/>
      <c r="F43" s="247"/>
      <c r="G43" s="247"/>
      <c r="H43" s="247"/>
      <c r="I43" s="247"/>
      <c r="J43" s="247"/>
      <c r="K43" s="247"/>
      <c r="L43" s="247"/>
      <c r="M43" s="247"/>
      <c r="N43" s="247"/>
      <c r="O43" s="247"/>
      <c r="P43" s="248"/>
      <c r="Q43" s="249"/>
      <c r="R43" s="247"/>
      <c r="S43" s="247"/>
      <c r="T43" s="247"/>
      <c r="U43" s="247"/>
      <c r="V43" s="247"/>
      <c r="W43" s="248"/>
      <c r="X43" s="247"/>
      <c r="Y43" s="248"/>
      <c r="Z43" s="248"/>
      <c r="AA43" s="247"/>
      <c r="AB43" s="248"/>
      <c r="AC43" s="247"/>
      <c r="AD43" s="247"/>
      <c r="AE43" s="248"/>
      <c r="AF43" s="247"/>
      <c r="AG43" s="247"/>
      <c r="AH43" s="248"/>
      <c r="AI43" s="247"/>
      <c r="AJ43" s="413"/>
      <c r="AK43" s="404"/>
    </row>
    <row r="44" spans="1:37" ht="12.75" x14ac:dyDescent="0.2">
      <c r="A44" s="554">
        <v>11</v>
      </c>
      <c r="B44" s="527" t="s">
        <v>334</v>
      </c>
      <c r="C44" s="125" t="s">
        <v>4</v>
      </c>
      <c r="D44" s="126">
        <v>1</v>
      </c>
      <c r="E44" s="126" t="s">
        <v>5</v>
      </c>
      <c r="F44" s="126"/>
      <c r="G44" s="126" t="s">
        <v>6</v>
      </c>
      <c r="H44" s="126" t="s">
        <v>10</v>
      </c>
      <c r="I44" s="126">
        <v>45429</v>
      </c>
      <c r="J44" s="126" t="s">
        <v>59</v>
      </c>
      <c r="K44" s="126">
        <v>123456</v>
      </c>
      <c r="L44" s="126">
        <v>1</v>
      </c>
      <c r="M44" s="126">
        <v>1</v>
      </c>
      <c r="N44" s="126">
        <v>4</v>
      </c>
      <c r="O44" s="127">
        <v>5.7</v>
      </c>
      <c r="P44" s="128">
        <v>1230020608</v>
      </c>
      <c r="Q44" s="141" t="s">
        <v>11</v>
      </c>
      <c r="R44" s="126" t="s">
        <v>7</v>
      </c>
      <c r="S44" s="126" t="s">
        <v>8</v>
      </c>
      <c r="T44" s="126"/>
      <c r="U44" s="126"/>
      <c r="V44" s="127"/>
      <c r="W44" s="126"/>
      <c r="X44" s="127"/>
      <c r="Y44" s="127"/>
      <c r="Z44" s="126"/>
      <c r="AA44" s="127"/>
      <c r="AB44" s="126"/>
      <c r="AC44" s="126"/>
      <c r="AD44" s="127"/>
      <c r="AE44" s="126"/>
      <c r="AF44" s="126" t="s">
        <v>119</v>
      </c>
      <c r="AG44" s="127">
        <v>0.7</v>
      </c>
      <c r="AH44" s="126"/>
      <c r="AI44" s="126"/>
      <c r="AJ44" s="129"/>
    </row>
    <row r="45" spans="1:37" ht="12.75" x14ac:dyDescent="0.2">
      <c r="A45" s="555"/>
      <c r="B45" s="549"/>
      <c r="C45" s="557"/>
      <c r="D45" s="558"/>
      <c r="E45" s="558"/>
      <c r="F45" s="558"/>
      <c r="G45" s="558"/>
      <c r="H45" s="558"/>
      <c r="I45" s="558"/>
      <c r="J45" s="558"/>
      <c r="K45" s="558"/>
      <c r="L45" s="558"/>
      <c r="M45" s="558"/>
      <c r="N45" s="558"/>
      <c r="O45" s="558"/>
      <c r="P45" s="558"/>
      <c r="Q45" s="558"/>
      <c r="R45" s="558"/>
      <c r="S45" s="558"/>
      <c r="T45" s="558"/>
      <c r="U45" s="558"/>
      <c r="V45" s="558"/>
      <c r="W45" s="558"/>
      <c r="X45" s="558"/>
      <c r="Y45" s="558"/>
      <c r="Z45" s="558"/>
      <c r="AA45" s="558"/>
      <c r="AB45" s="558"/>
      <c r="AC45" s="558"/>
      <c r="AD45" s="558"/>
      <c r="AE45" s="558"/>
      <c r="AF45" s="558"/>
      <c r="AG45" s="558"/>
      <c r="AH45" s="558"/>
      <c r="AI45" s="558"/>
      <c r="AJ45" s="559"/>
    </row>
    <row r="46" spans="1:37" ht="12.75" x14ac:dyDescent="0.2">
      <c r="A46" s="555"/>
      <c r="B46" s="549"/>
      <c r="C46" s="414" t="s">
        <v>4</v>
      </c>
      <c r="D46" s="391">
        <v>1</v>
      </c>
      <c r="E46" s="391" t="s">
        <v>5</v>
      </c>
      <c r="F46" s="391"/>
      <c r="G46" s="391" t="s">
        <v>6</v>
      </c>
      <c r="H46" s="391" t="s">
        <v>10</v>
      </c>
      <c r="I46" s="391">
        <v>45429</v>
      </c>
      <c r="J46" s="391" t="s">
        <v>59</v>
      </c>
      <c r="K46" s="391">
        <v>123456</v>
      </c>
      <c r="L46" s="391">
        <v>1</v>
      </c>
      <c r="M46" s="391">
        <v>1</v>
      </c>
      <c r="N46" s="32">
        <v>1</v>
      </c>
      <c r="O46" s="34">
        <v>4.7</v>
      </c>
      <c r="P46" s="42">
        <v>1230020608</v>
      </c>
      <c r="Q46" s="424" t="s">
        <v>11</v>
      </c>
      <c r="R46" s="391" t="s">
        <v>7</v>
      </c>
      <c r="S46" s="32" t="s">
        <v>13</v>
      </c>
      <c r="T46" s="391"/>
      <c r="U46" s="391"/>
      <c r="V46" s="35"/>
      <c r="W46" s="391"/>
      <c r="X46" s="35"/>
      <c r="Y46" s="35"/>
      <c r="Z46" s="32" t="s">
        <v>70</v>
      </c>
      <c r="AA46" s="34">
        <v>1</v>
      </c>
      <c r="AB46" s="391"/>
      <c r="AC46" s="391"/>
      <c r="AD46" s="35"/>
      <c r="AE46" s="391"/>
      <c r="AF46" s="427" t="s">
        <v>119</v>
      </c>
      <c r="AG46" s="428">
        <v>0.7</v>
      </c>
      <c r="AH46" s="391"/>
      <c r="AI46" s="391"/>
      <c r="AJ46" s="392"/>
    </row>
    <row r="47" spans="1:37" ht="12.75" x14ac:dyDescent="0.2">
      <c r="A47" s="555"/>
      <c r="B47" s="549"/>
      <c r="C47" s="414" t="s">
        <v>4</v>
      </c>
      <c r="D47" s="391">
        <v>1</v>
      </c>
      <c r="E47" s="391" t="s">
        <v>5</v>
      </c>
      <c r="F47" s="391"/>
      <c r="G47" s="391" t="s">
        <v>6</v>
      </c>
      <c r="H47" s="391" t="s">
        <v>10</v>
      </c>
      <c r="I47" s="391">
        <v>45429</v>
      </c>
      <c r="J47" s="391" t="s">
        <v>60</v>
      </c>
      <c r="K47" s="391">
        <v>123456</v>
      </c>
      <c r="L47" s="391">
        <v>2</v>
      </c>
      <c r="M47" s="391">
        <v>1</v>
      </c>
      <c r="N47" s="32">
        <v>1</v>
      </c>
      <c r="O47" s="34">
        <v>4.7</v>
      </c>
      <c r="P47" s="42">
        <v>1230020608</v>
      </c>
      <c r="Q47" s="424" t="s">
        <v>11</v>
      </c>
      <c r="R47" s="391" t="s">
        <v>7</v>
      </c>
      <c r="S47" s="32" t="s">
        <v>13</v>
      </c>
      <c r="T47" s="391"/>
      <c r="U47" s="391"/>
      <c r="V47" s="35"/>
      <c r="W47" s="391"/>
      <c r="X47" s="35"/>
      <c r="Y47" s="35"/>
      <c r="Z47" s="32" t="s">
        <v>70</v>
      </c>
      <c r="AA47" s="34">
        <v>1</v>
      </c>
      <c r="AB47" s="391"/>
      <c r="AC47" s="391"/>
      <c r="AD47" s="35"/>
      <c r="AE47" s="391"/>
      <c r="AF47" s="427" t="s">
        <v>119</v>
      </c>
      <c r="AG47" s="428">
        <v>0.7</v>
      </c>
      <c r="AH47" s="391"/>
      <c r="AI47" s="391"/>
      <c r="AJ47" s="392"/>
    </row>
    <row r="48" spans="1:37" ht="12.75" x14ac:dyDescent="0.2">
      <c r="A48" s="555"/>
      <c r="B48" s="549"/>
      <c r="C48" s="414" t="s">
        <v>4</v>
      </c>
      <c r="D48" s="391">
        <v>1</v>
      </c>
      <c r="E48" s="391" t="s">
        <v>5</v>
      </c>
      <c r="F48" s="391"/>
      <c r="G48" s="391" t="s">
        <v>6</v>
      </c>
      <c r="H48" s="391" t="s">
        <v>10</v>
      </c>
      <c r="I48" s="391">
        <v>45429</v>
      </c>
      <c r="J48" s="391" t="s">
        <v>61</v>
      </c>
      <c r="K48" s="391">
        <v>123456</v>
      </c>
      <c r="L48" s="391">
        <v>3</v>
      </c>
      <c r="M48" s="391">
        <v>1</v>
      </c>
      <c r="N48" s="32">
        <v>1</v>
      </c>
      <c r="O48" s="34">
        <v>4.7</v>
      </c>
      <c r="P48" s="42">
        <v>1230020608</v>
      </c>
      <c r="Q48" s="424" t="s">
        <v>11</v>
      </c>
      <c r="R48" s="391" t="s">
        <v>7</v>
      </c>
      <c r="S48" s="32" t="s">
        <v>13</v>
      </c>
      <c r="T48" s="391"/>
      <c r="U48" s="391"/>
      <c r="V48" s="35"/>
      <c r="W48" s="391"/>
      <c r="X48" s="35"/>
      <c r="Y48" s="35"/>
      <c r="Z48" s="32" t="s">
        <v>70</v>
      </c>
      <c r="AA48" s="34">
        <v>1</v>
      </c>
      <c r="AB48" s="391"/>
      <c r="AC48" s="391"/>
      <c r="AD48" s="35"/>
      <c r="AE48" s="391"/>
      <c r="AF48" s="427" t="s">
        <v>119</v>
      </c>
      <c r="AG48" s="428">
        <v>0.7</v>
      </c>
      <c r="AH48" s="391"/>
      <c r="AI48" s="391"/>
      <c r="AJ48" s="392"/>
    </row>
    <row r="49" spans="1:36" ht="12.75" x14ac:dyDescent="0.2">
      <c r="A49" s="555"/>
      <c r="B49" s="549"/>
      <c r="C49" s="414" t="s">
        <v>4</v>
      </c>
      <c r="D49" s="391">
        <v>1</v>
      </c>
      <c r="E49" s="391" t="s">
        <v>5</v>
      </c>
      <c r="F49" s="391"/>
      <c r="G49" s="391" t="s">
        <v>6</v>
      </c>
      <c r="H49" s="391" t="s">
        <v>10</v>
      </c>
      <c r="I49" s="391">
        <v>45429</v>
      </c>
      <c r="J49" s="391" t="s">
        <v>62</v>
      </c>
      <c r="K49" s="391">
        <v>123456</v>
      </c>
      <c r="L49" s="391">
        <v>4</v>
      </c>
      <c r="M49" s="391">
        <v>1</v>
      </c>
      <c r="N49" s="32">
        <v>1</v>
      </c>
      <c r="O49" s="34">
        <v>4.7</v>
      </c>
      <c r="P49" s="42">
        <v>1230020608</v>
      </c>
      <c r="Q49" s="424" t="s">
        <v>11</v>
      </c>
      <c r="R49" s="391" t="s">
        <v>7</v>
      </c>
      <c r="S49" s="32" t="s">
        <v>13</v>
      </c>
      <c r="T49" s="391"/>
      <c r="U49" s="391"/>
      <c r="V49" s="35"/>
      <c r="W49" s="391"/>
      <c r="X49" s="35"/>
      <c r="Y49" s="35"/>
      <c r="Z49" s="32" t="s">
        <v>70</v>
      </c>
      <c r="AA49" s="34">
        <v>1</v>
      </c>
      <c r="AB49" s="391"/>
      <c r="AC49" s="391"/>
      <c r="AD49" s="35"/>
      <c r="AE49" s="391"/>
      <c r="AF49" s="427" t="s">
        <v>119</v>
      </c>
      <c r="AG49" s="428">
        <v>0.7</v>
      </c>
      <c r="AH49" s="391"/>
      <c r="AI49" s="391"/>
      <c r="AJ49" s="392"/>
    </row>
    <row r="50" spans="1:36" ht="12.75" x14ac:dyDescent="0.2">
      <c r="A50" s="555"/>
      <c r="B50" s="549"/>
      <c r="C50" s="414"/>
      <c r="D50" s="391"/>
      <c r="E50" s="391"/>
      <c r="F50" s="391"/>
      <c r="G50" s="391"/>
      <c r="H50" s="391"/>
      <c r="I50" s="391"/>
      <c r="J50" s="391"/>
      <c r="K50" s="391"/>
      <c r="L50" s="391"/>
      <c r="M50" s="391"/>
      <c r="N50" s="391"/>
      <c r="O50" s="35"/>
      <c r="P50" s="42"/>
      <c r="Q50" s="391"/>
      <c r="R50" s="391"/>
      <c r="S50" s="391"/>
      <c r="T50" s="391"/>
      <c r="U50" s="391"/>
      <c r="V50" s="35"/>
      <c r="W50" s="391"/>
      <c r="X50" s="35"/>
      <c r="Y50" s="35"/>
      <c r="Z50" s="391"/>
      <c r="AA50" s="35"/>
      <c r="AB50" s="391"/>
      <c r="AC50" s="391"/>
      <c r="AD50" s="35"/>
      <c r="AE50" s="391"/>
      <c r="AF50" s="391"/>
      <c r="AG50" s="35"/>
      <c r="AH50" s="391"/>
      <c r="AI50" s="391"/>
      <c r="AJ50" s="392"/>
    </row>
    <row r="51" spans="1:36" ht="12.75" x14ac:dyDescent="0.2">
      <c r="A51" s="555"/>
      <c r="B51" s="549"/>
      <c r="C51" s="414" t="s">
        <v>4</v>
      </c>
      <c r="D51" s="391">
        <v>1</v>
      </c>
      <c r="E51" s="391" t="s">
        <v>5</v>
      </c>
      <c r="F51" s="391"/>
      <c r="G51" s="391" t="s">
        <v>6</v>
      </c>
      <c r="H51" s="391" t="s">
        <v>10</v>
      </c>
      <c r="I51" s="391">
        <v>45429</v>
      </c>
      <c r="J51" s="391" t="s">
        <v>59</v>
      </c>
      <c r="K51" s="391">
        <v>123456</v>
      </c>
      <c r="L51" s="391">
        <v>1</v>
      </c>
      <c r="M51" s="391">
        <v>1</v>
      </c>
      <c r="N51" s="32">
        <v>1</v>
      </c>
      <c r="O51" s="34">
        <v>4.7</v>
      </c>
      <c r="P51" s="42">
        <v>1230020608</v>
      </c>
      <c r="Q51" s="424" t="s">
        <v>11</v>
      </c>
      <c r="R51" s="391" t="s">
        <v>7</v>
      </c>
      <c r="S51" s="32" t="s">
        <v>13</v>
      </c>
      <c r="T51" s="391"/>
      <c r="U51" s="391"/>
      <c r="V51" s="35"/>
      <c r="W51" s="391"/>
      <c r="X51" s="35"/>
      <c r="Y51" s="35"/>
      <c r="Z51" s="32" t="s">
        <v>70</v>
      </c>
      <c r="AA51" s="34">
        <v>1</v>
      </c>
      <c r="AB51" s="391"/>
      <c r="AC51" s="391"/>
      <c r="AD51" s="35"/>
      <c r="AE51" s="391"/>
      <c r="AF51" s="427" t="s">
        <v>119</v>
      </c>
      <c r="AG51" s="428">
        <v>0.7</v>
      </c>
      <c r="AH51" s="391"/>
      <c r="AI51" s="391"/>
      <c r="AJ51" s="392"/>
    </row>
    <row r="52" spans="1:36" ht="12.75" x14ac:dyDescent="0.2">
      <c r="A52" s="555"/>
      <c r="B52" s="549"/>
      <c r="C52" s="414" t="s">
        <v>4</v>
      </c>
      <c r="D52" s="391">
        <v>1</v>
      </c>
      <c r="E52" s="391" t="s">
        <v>5</v>
      </c>
      <c r="F52" s="391"/>
      <c r="G52" s="391" t="s">
        <v>6</v>
      </c>
      <c r="H52" s="391" t="s">
        <v>10</v>
      </c>
      <c r="I52" s="391">
        <v>45429</v>
      </c>
      <c r="J52" s="391" t="s">
        <v>60</v>
      </c>
      <c r="K52" s="391">
        <v>123456</v>
      </c>
      <c r="L52" s="391">
        <v>2</v>
      </c>
      <c r="M52" s="391">
        <v>1</v>
      </c>
      <c r="N52" s="32">
        <v>3</v>
      </c>
      <c r="O52" s="34">
        <v>4.7</v>
      </c>
      <c r="P52" s="42">
        <v>1230020608</v>
      </c>
      <c r="Q52" s="424" t="s">
        <v>11</v>
      </c>
      <c r="R52" s="391" t="s">
        <v>7</v>
      </c>
      <c r="S52" s="32" t="s">
        <v>13</v>
      </c>
      <c r="T52" s="391"/>
      <c r="U52" s="391"/>
      <c r="V52" s="35"/>
      <c r="W52" s="391"/>
      <c r="X52" s="35"/>
      <c r="Y52" s="35"/>
      <c r="Z52" s="32" t="s">
        <v>70</v>
      </c>
      <c r="AA52" s="34">
        <v>1</v>
      </c>
      <c r="AB52" s="391"/>
      <c r="AC52" s="391"/>
      <c r="AD52" s="35"/>
      <c r="AE52" s="391"/>
      <c r="AF52" s="427" t="s">
        <v>119</v>
      </c>
      <c r="AG52" s="428">
        <v>0.7</v>
      </c>
      <c r="AH52" s="391"/>
      <c r="AI52" s="391"/>
      <c r="AJ52" s="392"/>
    </row>
    <row r="53" spans="1:36" ht="12.75" x14ac:dyDescent="0.2">
      <c r="A53" s="555"/>
      <c r="B53" s="549"/>
      <c r="C53" s="414"/>
      <c r="D53" s="391"/>
      <c r="E53" s="391"/>
      <c r="F53" s="391"/>
      <c r="G53" s="391"/>
      <c r="H53" s="391"/>
      <c r="I53" s="391"/>
      <c r="J53" s="391"/>
      <c r="K53" s="391"/>
      <c r="L53" s="391"/>
      <c r="M53" s="391"/>
      <c r="N53" s="391"/>
      <c r="O53" s="35"/>
      <c r="P53" s="42"/>
      <c r="Q53" s="391"/>
      <c r="R53" s="391"/>
      <c r="S53" s="391"/>
      <c r="T53" s="391"/>
      <c r="U53" s="391"/>
      <c r="V53" s="35"/>
      <c r="W53" s="391"/>
      <c r="X53" s="35"/>
      <c r="Y53" s="35"/>
      <c r="Z53" s="391"/>
      <c r="AA53" s="35"/>
      <c r="AB53" s="391"/>
      <c r="AC53" s="391"/>
      <c r="AD53" s="35"/>
      <c r="AE53" s="391"/>
      <c r="AF53" s="391"/>
      <c r="AG53" s="35"/>
      <c r="AH53" s="391"/>
      <c r="AI53" s="391"/>
      <c r="AJ53" s="392"/>
    </row>
    <row r="54" spans="1:36" ht="13.5" thickBot="1" x14ac:dyDescent="0.25">
      <c r="A54" s="556"/>
      <c r="B54" s="528"/>
      <c r="C54" s="415" t="s">
        <v>4</v>
      </c>
      <c r="D54" s="134">
        <v>1</v>
      </c>
      <c r="E54" s="134" t="s">
        <v>5</v>
      </c>
      <c r="F54" s="134"/>
      <c r="G54" s="134" t="s">
        <v>6</v>
      </c>
      <c r="H54" s="134" t="s">
        <v>10</v>
      </c>
      <c r="I54" s="134">
        <v>45429</v>
      </c>
      <c r="J54" s="134" t="s">
        <v>59</v>
      </c>
      <c r="K54" s="134">
        <v>123456</v>
      </c>
      <c r="L54" s="134">
        <v>1</v>
      </c>
      <c r="M54" s="134">
        <v>1</v>
      </c>
      <c r="N54" s="137">
        <v>4</v>
      </c>
      <c r="O54" s="132">
        <v>4.7</v>
      </c>
      <c r="P54" s="192">
        <v>1230020608</v>
      </c>
      <c r="Q54" s="134" t="s">
        <v>11</v>
      </c>
      <c r="R54" s="134" t="s">
        <v>7</v>
      </c>
      <c r="S54" s="137" t="s">
        <v>13</v>
      </c>
      <c r="T54" s="134"/>
      <c r="U54" s="134"/>
      <c r="V54" s="136"/>
      <c r="W54" s="134"/>
      <c r="X54" s="136"/>
      <c r="Y54" s="136"/>
      <c r="Z54" s="137" t="s">
        <v>70</v>
      </c>
      <c r="AA54" s="132">
        <v>1</v>
      </c>
      <c r="AB54" s="134"/>
      <c r="AC54" s="134"/>
      <c r="AD54" s="136"/>
      <c r="AE54" s="134"/>
      <c r="AF54" s="425" t="s">
        <v>119</v>
      </c>
      <c r="AG54" s="426">
        <v>0.7</v>
      </c>
      <c r="AH54" s="134"/>
      <c r="AI54" s="134"/>
      <c r="AJ54" s="138"/>
    </row>
  </sheetData>
  <mergeCells count="29">
    <mergeCell ref="A32:A36"/>
    <mergeCell ref="A29:A30"/>
    <mergeCell ref="A44:A54"/>
    <mergeCell ref="B44:B54"/>
    <mergeCell ref="C45:AJ45"/>
    <mergeCell ref="A38:A39"/>
    <mergeCell ref="A41:A42"/>
    <mergeCell ref="B41:B42"/>
    <mergeCell ref="B38:B39"/>
    <mergeCell ref="B29:B30"/>
    <mergeCell ref="B32:B36"/>
    <mergeCell ref="C34:AJ34"/>
    <mergeCell ref="A23:A24"/>
    <mergeCell ref="A26:A27"/>
    <mergeCell ref="B17:B21"/>
    <mergeCell ref="B23:B24"/>
    <mergeCell ref="B26:B27"/>
    <mergeCell ref="C19:AJ19"/>
    <mergeCell ref="B14:B15"/>
    <mergeCell ref="B11:B12"/>
    <mergeCell ref="C1:J1"/>
    <mergeCell ref="B5:B9"/>
    <mergeCell ref="C7:AJ7"/>
    <mergeCell ref="A4:B4"/>
    <mergeCell ref="A5:A9"/>
    <mergeCell ref="A11:A12"/>
    <mergeCell ref="P1:S1"/>
    <mergeCell ref="A14:A15"/>
    <mergeCell ref="A17:A21"/>
  </mergeCells>
  <pageMargins left="0.25" right="0.25" top="0.75" bottom="0.75" header="0.3" footer="0.3"/>
  <pageSetup paperSize="17" scale="60"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39997558519241921"/>
    <pageSetUpPr fitToPage="1"/>
  </sheetPr>
  <dimension ref="A1:AM182"/>
  <sheetViews>
    <sheetView showGridLines="0" zoomScale="80" zoomScaleNormal="80" workbookViewId="0">
      <selection activeCell="B2" sqref="B2"/>
    </sheetView>
  </sheetViews>
  <sheetFormatPr defaultRowHeight="21" x14ac:dyDescent="0.35"/>
  <cols>
    <col min="1" max="1" width="6.5703125" style="51" customWidth="1"/>
    <col min="2" max="2" width="38.28515625" customWidth="1"/>
    <col min="3" max="3" width="7.140625" bestFit="1" customWidth="1"/>
    <col min="4" max="4" width="3.5703125" bestFit="1" customWidth="1"/>
    <col min="5" max="5" width="12.140625" bestFit="1" customWidth="1"/>
    <col min="6" max="6" width="3.5703125" bestFit="1" customWidth="1"/>
    <col min="7" max="7" width="8.5703125" bestFit="1" customWidth="1"/>
    <col min="8" max="8" width="3.7109375" bestFit="1" customWidth="1"/>
    <col min="9" max="9" width="6.5703125" bestFit="1" customWidth="1"/>
    <col min="10" max="10" width="19.28515625" bestFit="1" customWidth="1"/>
    <col min="11" max="11" width="7.7109375" bestFit="1" customWidth="1"/>
    <col min="12" max="14" width="3.7109375" style="31" bestFit="1" customWidth="1"/>
    <col min="15" max="15" width="6" style="31" bestFit="1" customWidth="1"/>
    <col min="16" max="16" width="14.28515625" style="31" bestFit="1" customWidth="1"/>
    <col min="17" max="17" width="43.7109375" bestFit="1" customWidth="1"/>
    <col min="18" max="18" width="7" style="31" bestFit="1" customWidth="1"/>
    <col min="19" max="19" width="3.7109375" style="31" bestFit="1" customWidth="1"/>
    <col min="20" max="22" width="6" style="31" bestFit="1" customWidth="1"/>
    <col min="23" max="24" width="3.7109375" style="31" bestFit="1" customWidth="1"/>
    <col min="25" max="25" width="5" style="31" bestFit="1" customWidth="1"/>
    <col min="26" max="26" width="17" style="31" bestFit="1" customWidth="1"/>
    <col min="27" max="30" width="6" style="31" bestFit="1" customWidth="1"/>
    <col min="31" max="31" width="16.42578125" style="31" bestFit="1" customWidth="1"/>
    <col min="32" max="32" width="13.140625" style="31" bestFit="1" customWidth="1"/>
    <col min="33" max="33" width="6" style="31" bestFit="1" customWidth="1"/>
    <col min="34" max="34" width="15.5703125" style="31" bestFit="1" customWidth="1"/>
    <col min="35" max="36" width="3.7109375" style="31" bestFit="1" customWidth="1"/>
    <col min="37" max="37" width="9.140625" style="23"/>
  </cols>
  <sheetData>
    <row r="1" spans="1:39" s="2" customFormat="1" ht="19.149999999999999" customHeight="1" thickBot="1" x14ac:dyDescent="0.4">
      <c r="A1" s="61"/>
      <c r="B1" s="65" t="s">
        <v>336</v>
      </c>
      <c r="C1" s="531" t="s">
        <v>58</v>
      </c>
      <c r="D1" s="532"/>
      <c r="E1" s="532"/>
      <c r="F1" s="532"/>
      <c r="G1" s="532"/>
      <c r="H1" s="532"/>
      <c r="I1" s="532"/>
      <c r="J1" s="533"/>
      <c r="K1" s="6"/>
      <c r="L1" s="12"/>
      <c r="M1" s="12"/>
      <c r="N1" s="12"/>
      <c r="O1" s="12"/>
      <c r="P1" s="580" t="s">
        <v>83</v>
      </c>
      <c r="Q1" s="581"/>
      <c r="R1" s="582"/>
      <c r="S1" s="12"/>
      <c r="T1" s="12"/>
      <c r="U1" s="12"/>
      <c r="V1" s="12"/>
      <c r="W1" s="12"/>
      <c r="X1" s="12"/>
      <c r="Y1" s="12"/>
      <c r="Z1" s="212"/>
      <c r="AA1" s="212"/>
      <c r="AB1" s="212"/>
      <c r="AC1" s="212"/>
      <c r="AD1" s="212"/>
      <c r="AE1" s="212"/>
      <c r="AF1" s="212"/>
      <c r="AG1" s="212"/>
      <c r="AH1" s="212"/>
      <c r="AI1" s="212"/>
      <c r="AJ1" s="212"/>
      <c r="AK1" s="11"/>
    </row>
    <row r="2" spans="1:39" ht="18" customHeight="1" x14ac:dyDescent="0.25">
      <c r="A2"/>
      <c r="B2" s="69"/>
      <c r="L2"/>
      <c r="M2"/>
      <c r="N2"/>
      <c r="O2"/>
      <c r="R2"/>
      <c r="S2"/>
      <c r="T2"/>
      <c r="U2"/>
      <c r="V2"/>
      <c r="W2"/>
      <c r="X2"/>
      <c r="Y2"/>
      <c r="Z2"/>
      <c r="AA2"/>
      <c r="AB2"/>
      <c r="AC2"/>
      <c r="AD2"/>
      <c r="AE2"/>
      <c r="AF2"/>
      <c r="AG2"/>
      <c r="AH2"/>
      <c r="AI2"/>
      <c r="AJ2"/>
    </row>
    <row r="3" spans="1:39" s="54" customFormat="1" ht="18.75" x14ac:dyDescent="0.25">
      <c r="A3" s="56"/>
      <c r="B3" s="57" t="s">
        <v>69</v>
      </c>
      <c r="C3" s="55">
        <v>1</v>
      </c>
      <c r="D3" s="55">
        <v>2</v>
      </c>
      <c r="E3" s="55">
        <v>3</v>
      </c>
      <c r="F3" s="55">
        <v>4</v>
      </c>
      <c r="G3" s="55">
        <v>5</v>
      </c>
      <c r="H3" s="55">
        <v>6</v>
      </c>
      <c r="I3" s="55">
        <v>7</v>
      </c>
      <c r="J3" s="55">
        <v>8</v>
      </c>
      <c r="K3" s="55">
        <v>9</v>
      </c>
      <c r="L3" s="55">
        <v>10</v>
      </c>
      <c r="M3" s="55">
        <v>11</v>
      </c>
      <c r="N3" s="55">
        <v>12</v>
      </c>
      <c r="O3" s="55">
        <v>13</v>
      </c>
      <c r="P3" s="55">
        <v>14</v>
      </c>
      <c r="Q3" s="55">
        <v>15</v>
      </c>
      <c r="R3" s="55">
        <v>16</v>
      </c>
      <c r="S3" s="55">
        <v>17</v>
      </c>
      <c r="T3" s="55">
        <v>18</v>
      </c>
      <c r="U3" s="55">
        <v>19</v>
      </c>
      <c r="V3" s="55">
        <v>20</v>
      </c>
      <c r="W3" s="55">
        <v>21</v>
      </c>
      <c r="X3" s="55">
        <v>22</v>
      </c>
      <c r="Y3" s="55">
        <v>23</v>
      </c>
      <c r="Z3" s="55">
        <v>24</v>
      </c>
      <c r="AA3" s="55">
        <v>25</v>
      </c>
      <c r="AB3" s="55">
        <v>26</v>
      </c>
      <c r="AC3" s="55">
        <v>27</v>
      </c>
      <c r="AD3" s="55">
        <v>28</v>
      </c>
      <c r="AE3" s="55">
        <v>29</v>
      </c>
      <c r="AF3" s="55">
        <v>30</v>
      </c>
      <c r="AG3" s="55">
        <v>31</v>
      </c>
      <c r="AH3" s="55">
        <v>32</v>
      </c>
      <c r="AI3" s="55">
        <v>33</v>
      </c>
      <c r="AJ3" s="399">
        <v>34</v>
      </c>
      <c r="AK3" s="212"/>
    </row>
    <row r="4" spans="1:39" s="1" customFormat="1" ht="86.65" customHeight="1" thickBot="1" x14ac:dyDescent="0.25">
      <c r="A4" s="537" t="s">
        <v>3</v>
      </c>
      <c r="B4" s="537"/>
      <c r="C4" s="85" t="s">
        <v>22</v>
      </c>
      <c r="D4" s="85" t="s">
        <v>23</v>
      </c>
      <c r="E4" s="85" t="s">
        <v>24</v>
      </c>
      <c r="F4" s="85" t="s">
        <v>25</v>
      </c>
      <c r="G4" s="85" t="s">
        <v>19</v>
      </c>
      <c r="H4" s="85" t="s">
        <v>20</v>
      </c>
      <c r="I4" s="85" t="s">
        <v>21</v>
      </c>
      <c r="J4" s="85" t="s">
        <v>26</v>
      </c>
      <c r="K4" s="85" t="s">
        <v>27</v>
      </c>
      <c r="L4" s="85" t="s">
        <v>28</v>
      </c>
      <c r="M4" s="85" t="s">
        <v>29</v>
      </c>
      <c r="N4" s="85" t="s">
        <v>0</v>
      </c>
      <c r="O4" s="86" t="s">
        <v>1</v>
      </c>
      <c r="P4" s="85" t="s">
        <v>30</v>
      </c>
      <c r="Q4" s="85" t="s">
        <v>2</v>
      </c>
      <c r="R4" s="85" t="s">
        <v>31</v>
      </c>
      <c r="S4" s="85" t="s">
        <v>32</v>
      </c>
      <c r="T4" s="85" t="s">
        <v>47</v>
      </c>
      <c r="U4" s="85" t="s">
        <v>48</v>
      </c>
      <c r="V4" s="86" t="s">
        <v>49</v>
      </c>
      <c r="W4" s="85" t="s">
        <v>33</v>
      </c>
      <c r="X4" s="86" t="s">
        <v>34</v>
      </c>
      <c r="Y4" s="86" t="s">
        <v>35</v>
      </c>
      <c r="Z4" s="85" t="s">
        <v>36</v>
      </c>
      <c r="AA4" s="86" t="s">
        <v>96</v>
      </c>
      <c r="AB4" s="85" t="s">
        <v>38</v>
      </c>
      <c r="AC4" s="85" t="s">
        <v>39</v>
      </c>
      <c r="AD4" s="86" t="s">
        <v>40</v>
      </c>
      <c r="AE4" s="85" t="s">
        <v>41</v>
      </c>
      <c r="AF4" s="85" t="s">
        <v>42</v>
      </c>
      <c r="AG4" s="86" t="s">
        <v>43</v>
      </c>
      <c r="AH4" s="85" t="s">
        <v>44</v>
      </c>
      <c r="AI4" s="85" t="s">
        <v>45</v>
      </c>
      <c r="AJ4" s="400" t="s">
        <v>46</v>
      </c>
      <c r="AK4" s="5"/>
    </row>
    <row r="5" spans="1:39" s="2" customFormat="1" ht="14.65" customHeight="1" x14ac:dyDescent="0.2">
      <c r="A5" s="566">
        <v>12</v>
      </c>
      <c r="B5" s="575" t="s">
        <v>100</v>
      </c>
      <c r="C5" s="92" t="s">
        <v>4</v>
      </c>
      <c r="D5" s="72">
        <v>1</v>
      </c>
      <c r="E5" s="72" t="s">
        <v>5</v>
      </c>
      <c r="F5" s="72"/>
      <c r="G5" s="72" t="s">
        <v>6</v>
      </c>
      <c r="H5" s="72" t="s">
        <v>10</v>
      </c>
      <c r="I5" s="72">
        <v>45429</v>
      </c>
      <c r="J5" s="72" t="s">
        <v>59</v>
      </c>
      <c r="K5" s="72">
        <v>123456</v>
      </c>
      <c r="L5" s="73">
        <v>1</v>
      </c>
      <c r="M5" s="73">
        <v>1</v>
      </c>
      <c r="N5" s="73">
        <v>1</v>
      </c>
      <c r="O5" s="74">
        <v>6.5</v>
      </c>
      <c r="P5" s="73">
        <v>26100005738</v>
      </c>
      <c r="Q5" s="72" t="s">
        <v>15</v>
      </c>
      <c r="R5" s="73" t="s">
        <v>7</v>
      </c>
      <c r="S5" s="73" t="s">
        <v>8</v>
      </c>
      <c r="T5" s="73"/>
      <c r="U5" s="73"/>
      <c r="V5" s="74"/>
      <c r="W5" s="73"/>
      <c r="X5" s="74"/>
      <c r="Y5" s="74"/>
      <c r="Z5" s="73"/>
      <c r="AA5" s="74"/>
      <c r="AB5" s="73"/>
      <c r="AC5" s="73"/>
      <c r="AD5" s="74"/>
      <c r="AE5" s="73"/>
      <c r="AF5" s="73"/>
      <c r="AG5" s="74"/>
      <c r="AH5" s="73"/>
      <c r="AI5" s="73"/>
      <c r="AJ5" s="403"/>
      <c r="AK5" s="11"/>
    </row>
    <row r="6" spans="1:39" s="2" customFormat="1" ht="12.75" x14ac:dyDescent="0.2">
      <c r="A6" s="567"/>
      <c r="B6" s="576"/>
      <c r="C6" s="24"/>
      <c r="D6" s="20"/>
      <c r="E6" s="20"/>
      <c r="F6" s="20"/>
      <c r="G6" s="20"/>
      <c r="H6" s="20"/>
      <c r="I6" s="20"/>
      <c r="J6" s="20"/>
      <c r="K6" s="20"/>
      <c r="L6" s="20"/>
      <c r="M6" s="20"/>
      <c r="N6" s="20"/>
      <c r="O6" s="20"/>
      <c r="P6" s="71"/>
      <c r="Q6" s="20"/>
      <c r="R6" s="20"/>
      <c r="S6" s="20"/>
      <c r="T6" s="20"/>
      <c r="U6" s="20"/>
      <c r="V6" s="20"/>
      <c r="W6" s="20"/>
      <c r="X6" s="20"/>
      <c r="Y6" s="20"/>
      <c r="Z6" s="20"/>
      <c r="AA6" s="20"/>
      <c r="AB6" s="20"/>
      <c r="AC6" s="20"/>
      <c r="AD6" s="20"/>
      <c r="AE6" s="20"/>
      <c r="AF6" s="20"/>
      <c r="AG6" s="20"/>
      <c r="AH6" s="20"/>
      <c r="AI6" s="20"/>
      <c r="AJ6" s="420"/>
      <c r="AK6" s="11"/>
    </row>
    <row r="7" spans="1:39" s="2" customFormat="1" ht="12.75" x14ac:dyDescent="0.2">
      <c r="A7" s="567"/>
      <c r="B7" s="576"/>
      <c r="C7" s="17" t="s">
        <v>4</v>
      </c>
      <c r="D7" s="14">
        <v>1</v>
      </c>
      <c r="E7" s="14" t="s">
        <v>5</v>
      </c>
      <c r="F7" s="14"/>
      <c r="G7" s="14" t="s">
        <v>6</v>
      </c>
      <c r="H7" s="14" t="s">
        <v>10</v>
      </c>
      <c r="I7" s="14">
        <v>45429</v>
      </c>
      <c r="J7" s="14" t="s">
        <v>59</v>
      </c>
      <c r="K7" s="14">
        <v>123456</v>
      </c>
      <c r="L7" s="70">
        <v>1</v>
      </c>
      <c r="M7" s="70">
        <v>1</v>
      </c>
      <c r="N7" s="70">
        <v>1</v>
      </c>
      <c r="O7" s="28">
        <v>6.25</v>
      </c>
      <c r="P7" s="71">
        <v>26100005738</v>
      </c>
      <c r="Q7" s="14" t="s">
        <v>15</v>
      </c>
      <c r="R7" s="70" t="s">
        <v>7</v>
      </c>
      <c r="S7" s="25" t="s">
        <v>13</v>
      </c>
      <c r="T7" s="25" t="s">
        <v>13</v>
      </c>
      <c r="U7" s="25">
        <v>2</v>
      </c>
      <c r="V7" s="28">
        <v>0.25</v>
      </c>
      <c r="W7" s="70"/>
      <c r="X7" s="26"/>
      <c r="Y7" s="27"/>
      <c r="Z7" s="70"/>
      <c r="AA7" s="26"/>
      <c r="AB7" s="70"/>
      <c r="AC7" s="70"/>
      <c r="AD7" s="26"/>
      <c r="AE7" s="19"/>
      <c r="AF7" s="70"/>
      <c r="AG7" s="26"/>
      <c r="AH7" s="70"/>
      <c r="AI7" s="70"/>
      <c r="AJ7" s="401"/>
      <c r="AK7" s="11"/>
    </row>
    <row r="8" spans="1:39" s="2" customFormat="1" ht="12.75" x14ac:dyDescent="0.2">
      <c r="A8" s="567"/>
      <c r="B8" s="576"/>
      <c r="C8" s="17" t="s">
        <v>4</v>
      </c>
      <c r="D8" s="14">
        <v>1</v>
      </c>
      <c r="E8" s="14" t="s">
        <v>5</v>
      </c>
      <c r="F8" s="14"/>
      <c r="G8" s="14" t="s">
        <v>6</v>
      </c>
      <c r="H8" s="14" t="s">
        <v>10</v>
      </c>
      <c r="I8" s="14">
        <v>45429</v>
      </c>
      <c r="J8" s="14" t="s">
        <v>60</v>
      </c>
      <c r="K8" s="14">
        <v>123456</v>
      </c>
      <c r="L8" s="70">
        <v>2</v>
      </c>
      <c r="M8" s="70">
        <v>1</v>
      </c>
      <c r="N8" s="70">
        <v>1</v>
      </c>
      <c r="O8" s="28">
        <v>6.25</v>
      </c>
      <c r="P8" s="71">
        <v>26100005738</v>
      </c>
      <c r="Q8" s="14" t="s">
        <v>15</v>
      </c>
      <c r="R8" s="70" t="s">
        <v>7</v>
      </c>
      <c r="S8" s="25" t="s">
        <v>13</v>
      </c>
      <c r="T8" s="25" t="s">
        <v>13</v>
      </c>
      <c r="U8" s="25">
        <v>2</v>
      </c>
      <c r="V8" s="28">
        <v>0.25</v>
      </c>
      <c r="W8" s="70"/>
      <c r="X8" s="26"/>
      <c r="Y8" s="27"/>
      <c r="Z8" s="70"/>
      <c r="AA8" s="26"/>
      <c r="AB8" s="70"/>
      <c r="AC8" s="70"/>
      <c r="AD8" s="26"/>
      <c r="AE8" s="19"/>
      <c r="AF8" s="70"/>
      <c r="AG8" s="26"/>
      <c r="AH8" s="70"/>
      <c r="AI8" s="70"/>
      <c r="AJ8" s="401"/>
      <c r="AK8" s="11"/>
    </row>
    <row r="9" spans="1:39" s="2" customFormat="1" ht="12.75" x14ac:dyDescent="0.2">
      <c r="A9" s="567"/>
      <c r="B9" s="576"/>
      <c r="C9" s="578"/>
      <c r="D9" s="525"/>
      <c r="E9" s="525"/>
      <c r="F9" s="525"/>
      <c r="G9" s="525"/>
      <c r="H9" s="525"/>
      <c r="I9" s="525"/>
      <c r="J9" s="525"/>
      <c r="K9" s="525"/>
      <c r="L9" s="525"/>
      <c r="M9" s="525"/>
      <c r="N9" s="525"/>
      <c r="O9" s="525"/>
      <c r="P9" s="525"/>
      <c r="Q9" s="525"/>
      <c r="R9" s="525"/>
      <c r="S9" s="525"/>
      <c r="T9" s="525"/>
      <c r="U9" s="525"/>
      <c r="V9" s="525"/>
      <c r="W9" s="525"/>
      <c r="X9" s="525"/>
      <c r="Y9" s="525"/>
      <c r="Z9" s="525"/>
      <c r="AA9" s="525"/>
      <c r="AB9" s="525"/>
      <c r="AC9" s="525"/>
      <c r="AD9" s="525"/>
      <c r="AE9" s="525"/>
      <c r="AF9" s="525"/>
      <c r="AG9" s="525"/>
      <c r="AH9" s="525"/>
      <c r="AI9" s="525"/>
      <c r="AJ9" s="526"/>
      <c r="AK9" s="11"/>
    </row>
    <row r="10" spans="1:39" s="2" customFormat="1" ht="13.5" thickBot="1" x14ac:dyDescent="0.25">
      <c r="A10" s="568"/>
      <c r="B10" s="577"/>
      <c r="C10" s="196" t="s">
        <v>4</v>
      </c>
      <c r="D10" s="87">
        <v>1</v>
      </c>
      <c r="E10" s="87" t="s">
        <v>5</v>
      </c>
      <c r="F10" s="87"/>
      <c r="G10" s="87" t="s">
        <v>6</v>
      </c>
      <c r="H10" s="87" t="s">
        <v>10</v>
      </c>
      <c r="I10" s="87">
        <v>45429</v>
      </c>
      <c r="J10" s="87" t="s">
        <v>59</v>
      </c>
      <c r="K10" s="87">
        <v>123456</v>
      </c>
      <c r="L10" s="87">
        <v>1</v>
      </c>
      <c r="M10" s="87">
        <v>1</v>
      </c>
      <c r="N10" s="87">
        <v>2</v>
      </c>
      <c r="O10" s="177">
        <v>6.25</v>
      </c>
      <c r="P10" s="87">
        <v>26100005738</v>
      </c>
      <c r="Q10" s="197" t="s">
        <v>15</v>
      </c>
      <c r="R10" s="87" t="s">
        <v>7</v>
      </c>
      <c r="S10" s="177" t="s">
        <v>13</v>
      </c>
      <c r="T10" s="177" t="s">
        <v>13</v>
      </c>
      <c r="U10" s="81">
        <v>2</v>
      </c>
      <c r="V10" s="79">
        <v>0.25</v>
      </c>
      <c r="W10" s="88"/>
      <c r="X10" s="89"/>
      <c r="Y10" s="82"/>
      <c r="Z10" s="88"/>
      <c r="AA10" s="89"/>
      <c r="AB10" s="88"/>
      <c r="AC10" s="88"/>
      <c r="AD10" s="89"/>
      <c r="AE10" s="78"/>
      <c r="AF10" s="88"/>
      <c r="AG10" s="89"/>
      <c r="AH10" s="88"/>
      <c r="AI10" s="88"/>
      <c r="AJ10" s="402"/>
      <c r="AK10" s="11"/>
    </row>
    <row r="11" spans="1:39" s="5" customFormat="1" ht="21.75" thickBot="1" x14ac:dyDescent="0.4">
      <c r="A11" s="52"/>
      <c r="B11" s="579"/>
      <c r="C11" s="579"/>
      <c r="D11" s="579"/>
      <c r="E11" s="579"/>
      <c r="F11" s="579"/>
      <c r="G11" s="579"/>
      <c r="H11" s="579"/>
      <c r="I11" s="579"/>
      <c r="J11" s="579"/>
      <c r="K11" s="579"/>
      <c r="L11" s="579"/>
      <c r="M11" s="579"/>
      <c r="N11" s="579"/>
      <c r="O11" s="579"/>
      <c r="P11" s="579"/>
      <c r="Q11" s="579"/>
      <c r="R11" s="579"/>
      <c r="S11" s="579"/>
      <c r="T11" s="579"/>
      <c r="U11" s="579"/>
      <c r="V11" s="579"/>
      <c r="W11" s="579"/>
      <c r="X11" s="579"/>
      <c r="Y11" s="579"/>
      <c r="Z11" s="579"/>
      <c r="AA11" s="579"/>
      <c r="AB11" s="579"/>
      <c r="AC11" s="579"/>
      <c r="AD11" s="579"/>
      <c r="AE11" s="579"/>
      <c r="AF11" s="579"/>
      <c r="AG11" s="579"/>
      <c r="AH11" s="579"/>
      <c r="AI11" s="579"/>
      <c r="AJ11" s="579"/>
    </row>
    <row r="12" spans="1:39" s="2" customFormat="1" ht="14.65" customHeight="1" x14ac:dyDescent="0.2">
      <c r="A12" s="566">
        <v>13</v>
      </c>
      <c r="B12" s="575" t="s">
        <v>101</v>
      </c>
      <c r="C12" s="92" t="s">
        <v>4</v>
      </c>
      <c r="D12" s="72">
        <v>1</v>
      </c>
      <c r="E12" s="72" t="s">
        <v>5</v>
      </c>
      <c r="F12" s="72"/>
      <c r="G12" s="72" t="s">
        <v>6</v>
      </c>
      <c r="H12" s="72" t="s">
        <v>10</v>
      </c>
      <c r="I12" s="72">
        <v>45429</v>
      </c>
      <c r="J12" s="72" t="s">
        <v>59</v>
      </c>
      <c r="K12" s="72">
        <v>123456</v>
      </c>
      <c r="L12" s="73">
        <v>1</v>
      </c>
      <c r="M12" s="73">
        <v>1</v>
      </c>
      <c r="N12" s="73">
        <v>1</v>
      </c>
      <c r="O12" s="74">
        <v>6.5</v>
      </c>
      <c r="P12" s="73">
        <v>26100005738</v>
      </c>
      <c r="Q12" s="72" t="s">
        <v>15</v>
      </c>
      <c r="R12" s="73" t="s">
        <v>7</v>
      </c>
      <c r="S12" s="73" t="s">
        <v>8</v>
      </c>
      <c r="T12" s="73"/>
      <c r="U12" s="73"/>
      <c r="V12" s="74"/>
      <c r="W12" s="73"/>
      <c r="X12" s="74"/>
      <c r="Y12" s="74"/>
      <c r="Z12" s="73"/>
      <c r="AA12" s="74"/>
      <c r="AB12" s="73"/>
      <c r="AC12" s="73"/>
      <c r="AD12" s="74"/>
      <c r="AE12" s="73"/>
      <c r="AF12" s="73"/>
      <c r="AG12" s="74"/>
      <c r="AH12" s="73"/>
      <c r="AI12" s="73"/>
      <c r="AJ12" s="403"/>
      <c r="AK12" s="11"/>
    </row>
    <row r="13" spans="1:39" s="2" customFormat="1" ht="12.75" x14ac:dyDescent="0.2">
      <c r="A13" s="567"/>
      <c r="B13" s="576"/>
      <c r="C13" s="578"/>
      <c r="D13" s="525"/>
      <c r="E13" s="525"/>
      <c r="F13" s="525"/>
      <c r="G13" s="525"/>
      <c r="H13" s="525"/>
      <c r="I13" s="525"/>
      <c r="J13" s="525"/>
      <c r="K13" s="525"/>
      <c r="L13" s="525"/>
      <c r="M13" s="525"/>
      <c r="N13" s="525"/>
      <c r="O13" s="525"/>
      <c r="P13" s="525"/>
      <c r="Q13" s="525"/>
      <c r="R13" s="525"/>
      <c r="S13" s="525"/>
      <c r="T13" s="525"/>
      <c r="U13" s="525"/>
      <c r="V13" s="525"/>
      <c r="W13" s="525"/>
      <c r="X13" s="525"/>
      <c r="Y13" s="525"/>
      <c r="Z13" s="525"/>
      <c r="AA13" s="525"/>
      <c r="AB13" s="525"/>
      <c r="AC13" s="525"/>
      <c r="AD13" s="525"/>
      <c r="AE13" s="525"/>
      <c r="AF13" s="525"/>
      <c r="AG13" s="525"/>
      <c r="AH13" s="525"/>
      <c r="AI13" s="525"/>
      <c r="AJ13" s="526"/>
      <c r="AK13" s="11"/>
    </row>
    <row r="14" spans="1:39" s="2" customFormat="1" ht="12.75" x14ac:dyDescent="0.2">
      <c r="A14" s="567"/>
      <c r="B14" s="576"/>
      <c r="C14" s="17" t="s">
        <v>4</v>
      </c>
      <c r="D14" s="14">
        <v>1</v>
      </c>
      <c r="E14" s="14" t="s">
        <v>5</v>
      </c>
      <c r="F14" s="14"/>
      <c r="G14" s="14" t="s">
        <v>6</v>
      </c>
      <c r="H14" s="14" t="s">
        <v>10</v>
      </c>
      <c r="I14" s="14">
        <v>45429</v>
      </c>
      <c r="J14" s="14" t="s">
        <v>59</v>
      </c>
      <c r="K14" s="14">
        <v>123456</v>
      </c>
      <c r="L14" s="70">
        <v>1</v>
      </c>
      <c r="M14" s="70">
        <v>1</v>
      </c>
      <c r="N14" s="70">
        <v>1</v>
      </c>
      <c r="O14" s="28">
        <f>$O$12-(V14+AD14)</f>
        <v>6.2</v>
      </c>
      <c r="P14" s="71">
        <v>26100005738</v>
      </c>
      <c r="Q14" s="14" t="s">
        <v>15</v>
      </c>
      <c r="R14" s="70" t="s">
        <v>7</v>
      </c>
      <c r="S14" s="25" t="s">
        <v>13</v>
      </c>
      <c r="T14" s="25" t="s">
        <v>13</v>
      </c>
      <c r="U14" s="25">
        <v>2</v>
      </c>
      <c r="V14" s="28">
        <v>0.1</v>
      </c>
      <c r="W14" s="70"/>
      <c r="X14" s="26"/>
      <c r="Y14" s="27"/>
      <c r="Z14" s="70"/>
      <c r="AA14" s="26"/>
      <c r="AB14" s="25" t="s">
        <v>13</v>
      </c>
      <c r="AC14" s="25">
        <v>2</v>
      </c>
      <c r="AD14" s="28">
        <v>0.2</v>
      </c>
      <c r="AE14" s="19"/>
      <c r="AF14" s="70"/>
      <c r="AG14" s="26"/>
      <c r="AH14" s="59" t="s">
        <v>67</v>
      </c>
      <c r="AI14" s="70"/>
      <c r="AJ14" s="401"/>
      <c r="AK14" s="11"/>
    </row>
    <row r="15" spans="1:39" s="2" customFormat="1" ht="15" x14ac:dyDescent="0.25">
      <c r="A15" s="567"/>
      <c r="B15" s="576"/>
      <c r="C15" s="17" t="s">
        <v>4</v>
      </c>
      <c r="D15" s="14">
        <v>1</v>
      </c>
      <c r="E15" s="14" t="s">
        <v>5</v>
      </c>
      <c r="F15" s="14"/>
      <c r="G15" s="14" t="s">
        <v>6</v>
      </c>
      <c r="H15" s="14" t="s">
        <v>10</v>
      </c>
      <c r="I15" s="14">
        <v>45429</v>
      </c>
      <c r="J15" s="14" t="s">
        <v>60</v>
      </c>
      <c r="K15" s="14">
        <v>123456</v>
      </c>
      <c r="L15" s="70">
        <v>2</v>
      </c>
      <c r="M15" s="70">
        <v>1</v>
      </c>
      <c r="N15" s="70">
        <v>1</v>
      </c>
      <c r="O15" s="28">
        <f>$O$12-(V15+AD15)</f>
        <v>6.2</v>
      </c>
      <c r="P15" s="71">
        <v>26100005738</v>
      </c>
      <c r="Q15" s="14" t="s">
        <v>15</v>
      </c>
      <c r="R15" s="70" t="s">
        <v>7</v>
      </c>
      <c r="S15" s="25" t="s">
        <v>13</v>
      </c>
      <c r="T15" s="25" t="s">
        <v>13</v>
      </c>
      <c r="U15" s="25">
        <v>2</v>
      </c>
      <c r="V15" s="28">
        <v>0.1</v>
      </c>
      <c r="W15" s="70"/>
      <c r="X15" s="26"/>
      <c r="Y15" s="27"/>
      <c r="Z15" s="70"/>
      <c r="AA15" s="26"/>
      <c r="AB15" s="25" t="s">
        <v>13</v>
      </c>
      <c r="AC15" s="25">
        <v>2</v>
      </c>
      <c r="AD15" s="28">
        <v>0.2</v>
      </c>
      <c r="AE15" s="19"/>
      <c r="AF15" s="70"/>
      <c r="AG15" s="26"/>
      <c r="AH15" s="59" t="s">
        <v>67</v>
      </c>
      <c r="AI15" s="70"/>
      <c r="AJ15" s="401"/>
      <c r="AK15" s="11"/>
      <c r="AM15" s="9"/>
    </row>
    <row r="16" spans="1:39" s="2" customFormat="1" ht="12.75" x14ac:dyDescent="0.2">
      <c r="A16" s="567"/>
      <c r="B16" s="576"/>
      <c r="C16" s="578"/>
      <c r="D16" s="525"/>
      <c r="E16" s="525"/>
      <c r="F16" s="525"/>
      <c r="G16" s="525"/>
      <c r="H16" s="525"/>
      <c r="I16" s="525"/>
      <c r="J16" s="525"/>
      <c r="K16" s="525"/>
      <c r="L16" s="525"/>
      <c r="M16" s="525"/>
      <c r="N16" s="525"/>
      <c r="O16" s="525"/>
      <c r="P16" s="525"/>
      <c r="Q16" s="525"/>
      <c r="R16" s="525"/>
      <c r="S16" s="525"/>
      <c r="T16" s="525"/>
      <c r="U16" s="525"/>
      <c r="V16" s="525"/>
      <c r="W16" s="525"/>
      <c r="X16" s="525"/>
      <c r="Y16" s="525"/>
      <c r="Z16" s="525"/>
      <c r="AA16" s="525"/>
      <c r="AB16" s="525"/>
      <c r="AC16" s="525"/>
      <c r="AD16" s="525"/>
      <c r="AE16" s="525"/>
      <c r="AF16" s="525"/>
      <c r="AG16" s="525"/>
      <c r="AH16" s="525"/>
      <c r="AI16" s="525"/>
      <c r="AJ16" s="526"/>
      <c r="AK16" s="11"/>
    </row>
    <row r="17" spans="1:37" s="2" customFormat="1" ht="13.5" thickBot="1" x14ac:dyDescent="0.25">
      <c r="A17" s="568"/>
      <c r="B17" s="577"/>
      <c r="C17" s="116" t="s">
        <v>4</v>
      </c>
      <c r="D17" s="91">
        <v>1</v>
      </c>
      <c r="E17" s="91" t="s">
        <v>5</v>
      </c>
      <c r="F17" s="91"/>
      <c r="G17" s="91" t="s">
        <v>6</v>
      </c>
      <c r="H17" s="91" t="s">
        <v>10</v>
      </c>
      <c r="I17" s="91">
        <v>45429</v>
      </c>
      <c r="J17" s="91" t="s">
        <v>59</v>
      </c>
      <c r="K17" s="91">
        <v>123456</v>
      </c>
      <c r="L17" s="88">
        <v>1</v>
      </c>
      <c r="M17" s="88">
        <v>1</v>
      </c>
      <c r="N17" s="88">
        <v>2</v>
      </c>
      <c r="O17" s="79">
        <f>$O$12-(V17+AD17)</f>
        <v>6.2</v>
      </c>
      <c r="P17" s="88">
        <v>26100005738</v>
      </c>
      <c r="Q17" s="91" t="s">
        <v>15</v>
      </c>
      <c r="R17" s="88" t="s">
        <v>7</v>
      </c>
      <c r="S17" s="81" t="s">
        <v>13</v>
      </c>
      <c r="T17" s="81" t="s">
        <v>13</v>
      </c>
      <c r="U17" s="81">
        <v>2</v>
      </c>
      <c r="V17" s="79">
        <v>0.1</v>
      </c>
      <c r="W17" s="88"/>
      <c r="X17" s="89"/>
      <c r="Y17" s="82"/>
      <c r="Z17" s="88"/>
      <c r="AA17" s="89"/>
      <c r="AB17" s="81" t="s">
        <v>13</v>
      </c>
      <c r="AC17" s="81">
        <v>2</v>
      </c>
      <c r="AD17" s="79">
        <v>0.2</v>
      </c>
      <c r="AE17" s="78"/>
      <c r="AF17" s="88"/>
      <c r="AG17" s="89"/>
      <c r="AH17" s="83" t="s">
        <v>67</v>
      </c>
      <c r="AI17" s="88"/>
      <c r="AJ17" s="402"/>
      <c r="AK17" s="11"/>
    </row>
    <row r="18" spans="1:37" ht="21.75" thickBot="1" x14ac:dyDescent="0.4"/>
    <row r="19" spans="1:37" s="2" customFormat="1" ht="12.95" customHeight="1" x14ac:dyDescent="0.2">
      <c r="A19" s="572">
        <v>14</v>
      </c>
      <c r="B19" s="527" t="s">
        <v>111</v>
      </c>
      <c r="C19" s="98" t="s">
        <v>4</v>
      </c>
      <c r="D19" s="72">
        <v>1</v>
      </c>
      <c r="E19" s="72" t="s">
        <v>5</v>
      </c>
      <c r="F19" s="72"/>
      <c r="G19" s="72" t="s">
        <v>6</v>
      </c>
      <c r="H19" s="72" t="s">
        <v>10</v>
      </c>
      <c r="I19" s="72">
        <v>45429</v>
      </c>
      <c r="J19" s="72" t="s">
        <v>59</v>
      </c>
      <c r="K19" s="72">
        <v>123456</v>
      </c>
      <c r="L19" s="73">
        <v>1</v>
      </c>
      <c r="M19" s="73">
        <v>1</v>
      </c>
      <c r="N19" s="73">
        <v>1</v>
      </c>
      <c r="O19" s="74">
        <v>5.7</v>
      </c>
      <c r="P19" s="73">
        <v>1230020608</v>
      </c>
      <c r="Q19" s="72" t="s">
        <v>11</v>
      </c>
      <c r="R19" s="73" t="s">
        <v>7</v>
      </c>
      <c r="S19" s="73" t="s">
        <v>8</v>
      </c>
      <c r="T19" s="73"/>
      <c r="U19" s="73"/>
      <c r="V19" s="74"/>
      <c r="W19" s="73"/>
      <c r="X19" s="74"/>
      <c r="Y19" s="74"/>
      <c r="Z19" s="73"/>
      <c r="AA19" s="74"/>
      <c r="AB19" s="73"/>
      <c r="AC19" s="73"/>
      <c r="AD19" s="74"/>
      <c r="AE19" s="73"/>
      <c r="AF19" s="73" t="s">
        <v>119</v>
      </c>
      <c r="AG19" s="74">
        <v>0.5</v>
      </c>
      <c r="AH19" s="73"/>
      <c r="AI19" s="73"/>
      <c r="AJ19" s="75"/>
      <c r="AK19" s="11"/>
    </row>
    <row r="20" spans="1:37" s="2" customFormat="1" ht="12.75" customHeight="1" x14ac:dyDescent="0.2">
      <c r="A20" s="573"/>
      <c r="B20" s="549"/>
      <c r="C20" s="99" t="s">
        <v>4</v>
      </c>
      <c r="D20" s="18">
        <v>1</v>
      </c>
      <c r="E20" s="18" t="s">
        <v>5</v>
      </c>
      <c r="F20" s="18"/>
      <c r="G20" s="18" t="s">
        <v>6</v>
      </c>
      <c r="H20" s="18" t="s">
        <v>10</v>
      </c>
      <c r="I20" s="18">
        <v>45429</v>
      </c>
      <c r="J20" s="18" t="s">
        <v>60</v>
      </c>
      <c r="K20" s="18">
        <v>123457</v>
      </c>
      <c r="L20" s="29">
        <v>1</v>
      </c>
      <c r="M20" s="29">
        <v>1</v>
      </c>
      <c r="N20" s="29">
        <v>1</v>
      </c>
      <c r="O20" s="30">
        <v>6.5</v>
      </c>
      <c r="P20" s="29">
        <v>26100005738</v>
      </c>
      <c r="Q20" s="18" t="s">
        <v>15</v>
      </c>
      <c r="R20" s="29" t="s">
        <v>7</v>
      </c>
      <c r="S20" s="29" t="s">
        <v>8</v>
      </c>
      <c r="T20" s="29"/>
      <c r="U20" s="29"/>
      <c r="V20" s="30"/>
      <c r="W20" s="29"/>
      <c r="X20" s="30"/>
      <c r="Y20" s="30"/>
      <c r="Z20" s="29"/>
      <c r="AA20" s="30"/>
      <c r="AB20" s="29"/>
      <c r="AC20" s="29"/>
      <c r="AD20" s="30"/>
      <c r="AE20" s="29"/>
      <c r="AF20" s="29" t="s">
        <v>119</v>
      </c>
      <c r="AG20" s="30">
        <v>0.25</v>
      </c>
      <c r="AH20" s="29"/>
      <c r="AI20" s="29"/>
      <c r="AJ20" s="76"/>
      <c r="AK20" s="11"/>
    </row>
    <row r="21" spans="1:37" s="2" customFormat="1" ht="12.75" customHeight="1" x14ac:dyDescent="0.2">
      <c r="A21" s="573"/>
      <c r="B21" s="549"/>
      <c r="C21" s="99" t="s">
        <v>4</v>
      </c>
      <c r="D21" s="18">
        <v>1</v>
      </c>
      <c r="E21" s="18" t="s">
        <v>5</v>
      </c>
      <c r="F21" s="18"/>
      <c r="G21" s="18" t="s">
        <v>6</v>
      </c>
      <c r="H21" s="18" t="s">
        <v>10</v>
      </c>
      <c r="I21" s="18">
        <v>45429</v>
      </c>
      <c r="J21" s="18" t="s">
        <v>59</v>
      </c>
      <c r="K21" s="18">
        <v>123457</v>
      </c>
      <c r="L21" s="29">
        <v>1</v>
      </c>
      <c r="M21" s="29">
        <v>1</v>
      </c>
      <c r="N21" s="29">
        <v>1</v>
      </c>
      <c r="O21" s="30">
        <v>50</v>
      </c>
      <c r="P21" s="45">
        <v>26100805734</v>
      </c>
      <c r="Q21" s="22" t="s">
        <v>15</v>
      </c>
      <c r="R21" s="29" t="s">
        <v>9</v>
      </c>
      <c r="S21" s="29" t="s">
        <v>8</v>
      </c>
      <c r="T21" s="29"/>
      <c r="U21" s="29"/>
      <c r="V21" s="30"/>
      <c r="W21" s="29"/>
      <c r="X21" s="30"/>
      <c r="Y21" s="30"/>
      <c r="Z21" s="29"/>
      <c r="AA21" s="30"/>
      <c r="AB21" s="29"/>
      <c r="AC21" s="29"/>
      <c r="AD21" s="30"/>
      <c r="AE21" s="29"/>
      <c r="AF21" s="29" t="s">
        <v>119</v>
      </c>
      <c r="AG21" s="30">
        <v>0.25</v>
      </c>
      <c r="AH21" s="29"/>
      <c r="AI21" s="29"/>
      <c r="AJ21" s="76"/>
      <c r="AK21" s="11"/>
    </row>
    <row r="22" spans="1:37" s="2" customFormat="1" ht="12.75" x14ac:dyDescent="0.2">
      <c r="A22" s="573"/>
      <c r="B22" s="549"/>
      <c r="C22" s="524"/>
      <c r="D22" s="525"/>
      <c r="E22" s="525"/>
      <c r="F22" s="525"/>
      <c r="G22" s="525"/>
      <c r="H22" s="525"/>
      <c r="I22" s="525"/>
      <c r="J22" s="525"/>
      <c r="K22" s="525"/>
      <c r="L22" s="525"/>
      <c r="M22" s="525"/>
      <c r="N22" s="525"/>
      <c r="O22" s="525"/>
      <c r="P22" s="525"/>
      <c r="Q22" s="525"/>
      <c r="R22" s="525"/>
      <c r="S22" s="525"/>
      <c r="T22" s="525"/>
      <c r="U22" s="525"/>
      <c r="V22" s="525"/>
      <c r="W22" s="525"/>
      <c r="X22" s="525"/>
      <c r="Y22" s="525"/>
      <c r="Z22" s="525"/>
      <c r="AA22" s="525"/>
      <c r="AB22" s="525"/>
      <c r="AC22" s="525"/>
      <c r="AD22" s="525"/>
      <c r="AE22" s="525"/>
      <c r="AF22" s="525"/>
      <c r="AG22" s="525"/>
      <c r="AH22" s="525"/>
      <c r="AI22" s="525"/>
      <c r="AJ22" s="526"/>
      <c r="AK22" s="11"/>
    </row>
    <row r="23" spans="1:37" s="2" customFormat="1" ht="12.75" customHeight="1" x14ac:dyDescent="0.2">
      <c r="A23" s="573"/>
      <c r="B23" s="549"/>
      <c r="C23" s="123" t="s">
        <v>4</v>
      </c>
      <c r="D23" s="14">
        <v>1</v>
      </c>
      <c r="E23" s="14" t="s">
        <v>5</v>
      </c>
      <c r="F23" s="14"/>
      <c r="G23" s="14" t="s">
        <v>6</v>
      </c>
      <c r="H23" s="14" t="s">
        <v>10</v>
      </c>
      <c r="I23" s="14">
        <v>45429</v>
      </c>
      <c r="J23" s="14" t="s">
        <v>59</v>
      </c>
      <c r="K23" s="14">
        <v>123456</v>
      </c>
      <c r="L23" s="389">
        <v>1</v>
      </c>
      <c r="M23" s="389">
        <v>1</v>
      </c>
      <c r="N23" s="19">
        <v>4</v>
      </c>
      <c r="O23" s="28">
        <v>5.4</v>
      </c>
      <c r="P23" s="389">
        <v>1230020608</v>
      </c>
      <c r="Q23" s="14" t="s">
        <v>11</v>
      </c>
      <c r="R23" s="389" t="s">
        <v>7</v>
      </c>
      <c r="S23" s="25" t="s">
        <v>13</v>
      </c>
      <c r="T23" s="389"/>
      <c r="U23" s="389"/>
      <c r="V23" s="26"/>
      <c r="W23" s="389"/>
      <c r="X23" s="26"/>
      <c r="Y23" s="27"/>
      <c r="Z23" s="389"/>
      <c r="AA23" s="26"/>
      <c r="AB23" s="25" t="s">
        <v>13</v>
      </c>
      <c r="AC23" s="25">
        <v>2</v>
      </c>
      <c r="AD23" s="28">
        <v>0.3</v>
      </c>
      <c r="AE23" s="19"/>
      <c r="AF23" s="59" t="s">
        <v>119</v>
      </c>
      <c r="AG23" s="207">
        <v>0.5</v>
      </c>
      <c r="AH23" s="28" t="s">
        <v>67</v>
      </c>
      <c r="AI23" s="389"/>
      <c r="AJ23" s="390"/>
      <c r="AK23" s="11"/>
    </row>
    <row r="24" spans="1:37" s="2" customFormat="1" ht="12" customHeight="1" x14ac:dyDescent="0.2">
      <c r="A24" s="573"/>
      <c r="B24" s="549"/>
      <c r="C24" s="123" t="s">
        <v>4</v>
      </c>
      <c r="D24" s="14">
        <v>1</v>
      </c>
      <c r="E24" s="14" t="s">
        <v>5</v>
      </c>
      <c r="F24" s="14"/>
      <c r="G24" s="14" t="s">
        <v>6</v>
      </c>
      <c r="H24" s="14" t="s">
        <v>10</v>
      </c>
      <c r="I24" s="14">
        <v>45429</v>
      </c>
      <c r="J24" s="14" t="s">
        <v>60</v>
      </c>
      <c r="K24" s="14">
        <v>123456</v>
      </c>
      <c r="L24" s="389">
        <v>2</v>
      </c>
      <c r="M24" s="389">
        <v>1</v>
      </c>
      <c r="N24" s="389">
        <v>1</v>
      </c>
      <c r="O24" s="28">
        <v>6.3</v>
      </c>
      <c r="P24" s="389">
        <v>26100005738</v>
      </c>
      <c r="Q24" s="14" t="s">
        <v>15</v>
      </c>
      <c r="R24" s="389" t="s">
        <v>7</v>
      </c>
      <c r="S24" s="25" t="s">
        <v>13</v>
      </c>
      <c r="T24" s="389"/>
      <c r="U24" s="389"/>
      <c r="V24" s="26"/>
      <c r="W24" s="389"/>
      <c r="X24" s="26"/>
      <c r="Y24" s="27"/>
      <c r="Z24" s="389"/>
      <c r="AA24" s="26"/>
      <c r="AB24" s="25" t="s">
        <v>13</v>
      </c>
      <c r="AC24" s="25">
        <v>2</v>
      </c>
      <c r="AD24" s="28">
        <v>0.2</v>
      </c>
      <c r="AE24" s="19"/>
      <c r="AF24" s="59" t="s">
        <v>119</v>
      </c>
      <c r="AG24" s="207">
        <v>0.25</v>
      </c>
      <c r="AH24" s="28" t="s">
        <v>67</v>
      </c>
      <c r="AI24" s="389"/>
      <c r="AJ24" s="390"/>
      <c r="AK24" s="11"/>
    </row>
    <row r="25" spans="1:37" s="2" customFormat="1" ht="12.75" x14ac:dyDescent="0.2">
      <c r="A25" s="573"/>
      <c r="B25" s="549"/>
      <c r="C25" s="524"/>
      <c r="D25" s="525"/>
      <c r="E25" s="525"/>
      <c r="F25" s="525"/>
      <c r="G25" s="525"/>
      <c r="H25" s="525"/>
      <c r="I25" s="525"/>
      <c r="J25" s="525"/>
      <c r="K25" s="525"/>
      <c r="L25" s="525"/>
      <c r="M25" s="525"/>
      <c r="N25" s="525"/>
      <c r="O25" s="525"/>
      <c r="P25" s="525"/>
      <c r="Q25" s="525"/>
      <c r="R25" s="525"/>
      <c r="S25" s="525"/>
      <c r="T25" s="525"/>
      <c r="U25" s="525"/>
      <c r="V25" s="525"/>
      <c r="W25" s="525"/>
      <c r="X25" s="525"/>
      <c r="Y25" s="525"/>
      <c r="Z25" s="525"/>
      <c r="AA25" s="525"/>
      <c r="AB25" s="525"/>
      <c r="AC25" s="525"/>
      <c r="AD25" s="525"/>
      <c r="AE25" s="525"/>
      <c r="AF25" s="525"/>
      <c r="AG25" s="525"/>
      <c r="AH25" s="525"/>
      <c r="AI25" s="525"/>
      <c r="AJ25" s="526"/>
      <c r="AK25" s="11"/>
    </row>
    <row r="26" spans="1:37" s="2" customFormat="1" ht="12.75" customHeight="1" x14ac:dyDescent="0.2">
      <c r="A26" s="573"/>
      <c r="B26" s="549"/>
      <c r="C26" s="123" t="s">
        <v>4</v>
      </c>
      <c r="D26" s="14">
        <v>1</v>
      </c>
      <c r="E26" s="14" t="s">
        <v>5</v>
      </c>
      <c r="F26" s="14"/>
      <c r="G26" s="14" t="s">
        <v>6</v>
      </c>
      <c r="H26" s="14" t="s">
        <v>10</v>
      </c>
      <c r="I26" s="14">
        <v>45429</v>
      </c>
      <c r="J26" s="14" t="s">
        <v>59</v>
      </c>
      <c r="K26" s="14">
        <v>123456</v>
      </c>
      <c r="L26" s="389">
        <v>1</v>
      </c>
      <c r="M26" s="389">
        <v>1</v>
      </c>
      <c r="N26" s="19">
        <v>2</v>
      </c>
      <c r="O26" s="28">
        <v>5.4</v>
      </c>
      <c r="P26" s="389">
        <v>1230020608</v>
      </c>
      <c r="Q26" s="14" t="s">
        <v>11</v>
      </c>
      <c r="R26" s="389" t="s">
        <v>7</v>
      </c>
      <c r="S26" s="25" t="s">
        <v>13</v>
      </c>
      <c r="T26" s="389"/>
      <c r="U26" s="389"/>
      <c r="V26" s="26"/>
      <c r="W26" s="389"/>
      <c r="X26" s="26"/>
      <c r="Y26" s="27"/>
      <c r="Z26" s="389"/>
      <c r="AA26" s="26"/>
      <c r="AB26" s="25" t="s">
        <v>13</v>
      </c>
      <c r="AC26" s="25">
        <v>2</v>
      </c>
      <c r="AD26" s="28">
        <v>0.3</v>
      </c>
      <c r="AE26" s="19"/>
      <c r="AF26" s="59" t="s">
        <v>119</v>
      </c>
      <c r="AG26" s="207">
        <v>0.5</v>
      </c>
      <c r="AH26" s="28" t="s">
        <v>67</v>
      </c>
      <c r="AI26" s="389"/>
      <c r="AJ26" s="390"/>
      <c r="AK26" s="11"/>
    </row>
    <row r="27" spans="1:37" s="2" customFormat="1" ht="12.75" x14ac:dyDescent="0.2">
      <c r="A27" s="573"/>
      <c r="B27" s="549"/>
      <c r="C27" s="524"/>
      <c r="D27" s="525"/>
      <c r="E27" s="525"/>
      <c r="F27" s="525"/>
      <c r="G27" s="525"/>
      <c r="H27" s="525"/>
      <c r="I27" s="525"/>
      <c r="J27" s="525"/>
      <c r="K27" s="525"/>
      <c r="L27" s="525"/>
      <c r="M27" s="525"/>
      <c r="N27" s="525"/>
      <c r="O27" s="525"/>
      <c r="P27" s="525"/>
      <c r="Q27" s="525"/>
      <c r="R27" s="525"/>
      <c r="S27" s="525"/>
      <c r="T27" s="525"/>
      <c r="U27" s="525"/>
      <c r="V27" s="525"/>
      <c r="W27" s="525"/>
      <c r="X27" s="525"/>
      <c r="Y27" s="525"/>
      <c r="Z27" s="525"/>
      <c r="AA27" s="525"/>
      <c r="AB27" s="525"/>
      <c r="AC27" s="525"/>
      <c r="AD27" s="525"/>
      <c r="AE27" s="525"/>
      <c r="AF27" s="525"/>
      <c r="AG27" s="525"/>
      <c r="AH27" s="525"/>
      <c r="AI27" s="525"/>
      <c r="AJ27" s="526"/>
      <c r="AK27" s="11"/>
    </row>
    <row r="28" spans="1:37" s="2" customFormat="1" ht="12.75" customHeight="1" x14ac:dyDescent="0.2">
      <c r="A28" s="573"/>
      <c r="B28" s="549"/>
      <c r="C28" s="123" t="s">
        <v>4</v>
      </c>
      <c r="D28" s="14">
        <v>1</v>
      </c>
      <c r="E28" s="14" t="s">
        <v>5</v>
      </c>
      <c r="F28" s="14"/>
      <c r="G28" s="14" t="s">
        <v>6</v>
      </c>
      <c r="H28" s="14" t="s">
        <v>10</v>
      </c>
      <c r="I28" s="14">
        <v>45429</v>
      </c>
      <c r="J28" s="14" t="s">
        <v>59</v>
      </c>
      <c r="K28" s="14">
        <v>123456</v>
      </c>
      <c r="L28" s="389">
        <v>1</v>
      </c>
      <c r="M28" s="389">
        <v>1</v>
      </c>
      <c r="N28" s="389">
        <v>1</v>
      </c>
      <c r="O28" s="28">
        <v>6.3</v>
      </c>
      <c r="P28" s="389">
        <v>26100005738</v>
      </c>
      <c r="Q28" s="14" t="s">
        <v>15</v>
      </c>
      <c r="R28" s="389" t="s">
        <v>7</v>
      </c>
      <c r="S28" s="25" t="s">
        <v>13</v>
      </c>
      <c r="T28" s="389"/>
      <c r="U28" s="389"/>
      <c r="V28" s="26"/>
      <c r="W28" s="389"/>
      <c r="X28" s="26"/>
      <c r="Y28" s="27"/>
      <c r="Z28" s="389"/>
      <c r="AA28" s="26"/>
      <c r="AB28" s="25" t="s">
        <v>13</v>
      </c>
      <c r="AC28" s="25">
        <v>2</v>
      </c>
      <c r="AD28" s="28">
        <v>0.2</v>
      </c>
      <c r="AE28" s="19"/>
      <c r="AF28" s="59" t="s">
        <v>119</v>
      </c>
      <c r="AG28" s="207">
        <v>0.25</v>
      </c>
      <c r="AH28" s="28" t="s">
        <v>67</v>
      </c>
      <c r="AI28" s="389"/>
      <c r="AJ28" s="390"/>
      <c r="AK28" s="11"/>
    </row>
    <row r="29" spans="1:37" s="2" customFormat="1" ht="12.75" customHeight="1" x14ac:dyDescent="0.2">
      <c r="A29" s="573"/>
      <c r="B29" s="549"/>
      <c r="C29" s="123" t="s">
        <v>4</v>
      </c>
      <c r="D29" s="14">
        <v>1</v>
      </c>
      <c r="E29" s="14" t="s">
        <v>5</v>
      </c>
      <c r="F29" s="14"/>
      <c r="G29" s="14" t="s">
        <v>6</v>
      </c>
      <c r="H29" s="14" t="s">
        <v>10</v>
      </c>
      <c r="I29" s="14">
        <v>45429</v>
      </c>
      <c r="J29" s="14" t="s">
        <v>60</v>
      </c>
      <c r="K29" s="14">
        <v>123456</v>
      </c>
      <c r="L29" s="389">
        <v>2</v>
      </c>
      <c r="M29" s="389">
        <v>1</v>
      </c>
      <c r="N29" s="389">
        <v>1</v>
      </c>
      <c r="O29" s="28">
        <v>6.3</v>
      </c>
      <c r="P29" s="389">
        <v>26100005738</v>
      </c>
      <c r="Q29" s="14" t="s">
        <v>15</v>
      </c>
      <c r="R29" s="389" t="s">
        <v>7</v>
      </c>
      <c r="S29" s="25" t="s">
        <v>13</v>
      </c>
      <c r="T29" s="389"/>
      <c r="U29" s="389"/>
      <c r="V29" s="26"/>
      <c r="W29" s="389"/>
      <c r="X29" s="26"/>
      <c r="Y29" s="27"/>
      <c r="Z29" s="389"/>
      <c r="AA29" s="26"/>
      <c r="AB29" s="25" t="s">
        <v>13</v>
      </c>
      <c r="AC29" s="25">
        <v>2</v>
      </c>
      <c r="AD29" s="28">
        <v>0.2</v>
      </c>
      <c r="AE29" s="19"/>
      <c r="AF29" s="59" t="s">
        <v>119</v>
      </c>
      <c r="AG29" s="207">
        <v>0.25</v>
      </c>
      <c r="AH29" s="28" t="s">
        <v>67</v>
      </c>
      <c r="AI29" s="389"/>
      <c r="AJ29" s="390"/>
      <c r="AK29" s="11"/>
    </row>
    <row r="30" spans="1:37" s="2" customFormat="1" ht="12.75" x14ac:dyDescent="0.2">
      <c r="A30" s="573"/>
      <c r="B30" s="549"/>
      <c r="C30" s="524"/>
      <c r="D30" s="525"/>
      <c r="E30" s="525"/>
      <c r="F30" s="525"/>
      <c r="G30" s="525"/>
      <c r="H30" s="525"/>
      <c r="I30" s="525"/>
      <c r="J30" s="525"/>
      <c r="K30" s="525"/>
      <c r="L30" s="525"/>
      <c r="M30" s="525"/>
      <c r="N30" s="525"/>
      <c r="O30" s="525"/>
      <c r="P30" s="525"/>
      <c r="Q30" s="525"/>
      <c r="R30" s="525"/>
      <c r="S30" s="525"/>
      <c r="T30" s="525"/>
      <c r="U30" s="525"/>
      <c r="V30" s="525"/>
      <c r="W30" s="525"/>
      <c r="X30" s="525"/>
      <c r="Y30" s="525"/>
      <c r="Z30" s="525"/>
      <c r="AA30" s="525"/>
      <c r="AB30" s="525"/>
      <c r="AC30" s="525"/>
      <c r="AD30" s="525"/>
      <c r="AE30" s="525"/>
      <c r="AF30" s="525"/>
      <c r="AG30" s="525"/>
      <c r="AH30" s="525"/>
      <c r="AI30" s="525"/>
      <c r="AJ30" s="526"/>
      <c r="AK30" s="11"/>
    </row>
    <row r="31" spans="1:37" s="2" customFormat="1" ht="12.75" customHeight="1" x14ac:dyDescent="0.2">
      <c r="A31" s="573"/>
      <c r="B31" s="549"/>
      <c r="C31" s="123" t="s">
        <v>4</v>
      </c>
      <c r="D31" s="14">
        <v>1</v>
      </c>
      <c r="E31" s="14" t="s">
        <v>5</v>
      </c>
      <c r="F31" s="14"/>
      <c r="G31" s="14" t="s">
        <v>6</v>
      </c>
      <c r="H31" s="14" t="s">
        <v>10</v>
      </c>
      <c r="I31" s="14">
        <v>45429</v>
      </c>
      <c r="J31" s="14" t="s">
        <v>59</v>
      </c>
      <c r="K31" s="14">
        <v>123456</v>
      </c>
      <c r="L31" s="389">
        <v>1</v>
      </c>
      <c r="M31" s="389">
        <v>1</v>
      </c>
      <c r="N31" s="19">
        <v>7</v>
      </c>
      <c r="O31" s="28">
        <v>6.3</v>
      </c>
      <c r="P31" s="389">
        <v>26100005738</v>
      </c>
      <c r="Q31" s="14" t="s">
        <v>15</v>
      </c>
      <c r="R31" s="389" t="s">
        <v>7</v>
      </c>
      <c r="S31" s="25" t="s">
        <v>13</v>
      </c>
      <c r="T31" s="389"/>
      <c r="U31" s="389"/>
      <c r="V31" s="26"/>
      <c r="W31" s="389"/>
      <c r="X31" s="26"/>
      <c r="Y31" s="27"/>
      <c r="Z31" s="389"/>
      <c r="AA31" s="26"/>
      <c r="AB31" s="25" t="s">
        <v>13</v>
      </c>
      <c r="AC31" s="25">
        <v>2</v>
      </c>
      <c r="AD31" s="28">
        <v>0.2</v>
      </c>
      <c r="AE31" s="19"/>
      <c r="AF31" s="59" t="s">
        <v>119</v>
      </c>
      <c r="AG31" s="207">
        <v>0.25</v>
      </c>
      <c r="AH31" s="28" t="s">
        <v>67</v>
      </c>
      <c r="AI31" s="389"/>
      <c r="AJ31" s="390"/>
      <c r="AK31" s="11"/>
    </row>
    <row r="32" spans="1:37" s="2" customFormat="1" ht="12.75" x14ac:dyDescent="0.2">
      <c r="A32" s="573"/>
      <c r="B32" s="549"/>
      <c r="C32" s="524"/>
      <c r="D32" s="525"/>
      <c r="E32" s="525"/>
      <c r="F32" s="525"/>
      <c r="G32" s="525"/>
      <c r="H32" s="525"/>
      <c r="I32" s="525"/>
      <c r="J32" s="525"/>
      <c r="K32" s="525"/>
      <c r="L32" s="525"/>
      <c r="M32" s="525"/>
      <c r="N32" s="525"/>
      <c r="O32" s="525"/>
      <c r="P32" s="525"/>
      <c r="Q32" s="525"/>
      <c r="R32" s="525"/>
      <c r="S32" s="525"/>
      <c r="T32" s="525"/>
      <c r="U32" s="525"/>
      <c r="V32" s="525"/>
      <c r="W32" s="525"/>
      <c r="X32" s="525"/>
      <c r="Y32" s="525"/>
      <c r="Z32" s="525"/>
      <c r="AA32" s="525"/>
      <c r="AB32" s="525"/>
      <c r="AC32" s="525"/>
      <c r="AD32" s="525"/>
      <c r="AE32" s="525"/>
      <c r="AF32" s="525"/>
      <c r="AG32" s="525"/>
      <c r="AH32" s="525"/>
      <c r="AI32" s="525"/>
      <c r="AJ32" s="526"/>
      <c r="AK32" s="11"/>
    </row>
    <row r="33" spans="1:37" s="2" customFormat="1" ht="21.75" customHeight="1" thickBot="1" x14ac:dyDescent="0.25">
      <c r="A33" s="574"/>
      <c r="B33" s="528"/>
      <c r="C33" s="421" t="s">
        <v>4</v>
      </c>
      <c r="D33" s="77">
        <v>1</v>
      </c>
      <c r="E33" s="77" t="s">
        <v>5</v>
      </c>
      <c r="F33" s="77"/>
      <c r="G33" s="77" t="s">
        <v>6</v>
      </c>
      <c r="H33" s="77" t="s">
        <v>10</v>
      </c>
      <c r="I33" s="77">
        <v>45429</v>
      </c>
      <c r="J33" s="77" t="s">
        <v>59</v>
      </c>
      <c r="K33" s="77">
        <v>123457</v>
      </c>
      <c r="L33" s="78">
        <v>1</v>
      </c>
      <c r="M33" s="78">
        <v>1</v>
      </c>
      <c r="N33" s="78">
        <v>1</v>
      </c>
      <c r="O33" s="79">
        <v>48</v>
      </c>
      <c r="P33" s="182">
        <v>26100805734</v>
      </c>
      <c r="Q33" s="94" t="s">
        <v>15</v>
      </c>
      <c r="R33" s="80" t="s">
        <v>9</v>
      </c>
      <c r="S33" s="81" t="s">
        <v>13</v>
      </c>
      <c r="T33" s="78"/>
      <c r="U33" s="78"/>
      <c r="V33" s="82"/>
      <c r="W33" s="78"/>
      <c r="X33" s="82"/>
      <c r="Y33" s="82"/>
      <c r="Z33" s="78"/>
      <c r="AA33" s="82"/>
      <c r="AB33" s="81" t="s">
        <v>13</v>
      </c>
      <c r="AC33" s="81">
        <v>2</v>
      </c>
      <c r="AD33" s="79">
        <v>2</v>
      </c>
      <c r="AE33" s="78"/>
      <c r="AF33" s="83" t="s">
        <v>119</v>
      </c>
      <c r="AG33" s="208">
        <v>2.5</v>
      </c>
      <c r="AH33" s="79" t="s">
        <v>67</v>
      </c>
      <c r="AI33" s="78"/>
      <c r="AJ33" s="84"/>
      <c r="AK33" s="11"/>
    </row>
    <row r="34" spans="1:37" s="211" customFormat="1" ht="13.5" customHeight="1" thickBot="1" x14ac:dyDescent="0.3">
      <c r="A34" s="245"/>
      <c r="B34" s="246"/>
      <c r="C34" s="412"/>
      <c r="D34" s="247"/>
      <c r="E34" s="247"/>
      <c r="F34" s="247"/>
      <c r="G34" s="247"/>
      <c r="H34" s="247"/>
      <c r="I34" s="247"/>
      <c r="J34" s="247"/>
      <c r="K34" s="247"/>
      <c r="L34" s="247"/>
      <c r="M34" s="247"/>
      <c r="N34" s="247"/>
      <c r="O34" s="247"/>
      <c r="P34" s="248"/>
      <c r="Q34" s="249"/>
      <c r="R34" s="247"/>
      <c r="S34" s="247"/>
      <c r="T34" s="247"/>
      <c r="U34" s="247"/>
      <c r="V34" s="247"/>
      <c r="W34" s="248"/>
      <c r="X34" s="247"/>
      <c r="Y34" s="248"/>
      <c r="Z34" s="248"/>
      <c r="AA34" s="247"/>
      <c r="AB34" s="248"/>
      <c r="AC34" s="247"/>
      <c r="AD34" s="247"/>
      <c r="AE34" s="248"/>
      <c r="AF34" s="247"/>
      <c r="AG34" s="247"/>
      <c r="AH34" s="248"/>
      <c r="AI34" s="247"/>
      <c r="AJ34" s="413"/>
      <c r="AK34" s="404"/>
    </row>
    <row r="35" spans="1:37" s="2" customFormat="1" ht="16.5" customHeight="1" x14ac:dyDescent="0.2">
      <c r="A35" s="583">
        <v>15</v>
      </c>
      <c r="B35" s="586" t="s">
        <v>102</v>
      </c>
      <c r="C35" s="98" t="s">
        <v>4</v>
      </c>
      <c r="D35" s="72">
        <v>1</v>
      </c>
      <c r="E35" s="72" t="s">
        <v>5</v>
      </c>
      <c r="F35" s="72"/>
      <c r="G35" s="72" t="s">
        <v>6</v>
      </c>
      <c r="H35" s="72" t="s">
        <v>10</v>
      </c>
      <c r="I35" s="72">
        <v>45429</v>
      </c>
      <c r="J35" s="72" t="s">
        <v>60</v>
      </c>
      <c r="K35" s="72">
        <v>123457</v>
      </c>
      <c r="L35" s="73">
        <v>1</v>
      </c>
      <c r="M35" s="73">
        <v>1</v>
      </c>
      <c r="N35" s="73">
        <v>1</v>
      </c>
      <c r="O35" s="74">
        <v>5.25</v>
      </c>
      <c r="P35" s="73">
        <v>43300109264</v>
      </c>
      <c r="Q35" s="72" t="s">
        <v>97</v>
      </c>
      <c r="R35" s="73" t="s">
        <v>7</v>
      </c>
      <c r="S35" s="73" t="s">
        <v>8</v>
      </c>
      <c r="T35" s="73"/>
      <c r="U35" s="73"/>
      <c r="V35" s="74"/>
      <c r="W35" s="73"/>
      <c r="X35" s="74"/>
      <c r="Y35" s="74"/>
      <c r="Z35" s="73"/>
      <c r="AA35" s="74"/>
      <c r="AB35" s="73"/>
      <c r="AC35" s="73"/>
      <c r="AD35" s="74"/>
      <c r="AE35" s="73"/>
      <c r="AF35" s="73" t="s">
        <v>119</v>
      </c>
      <c r="AG35" s="74">
        <v>1.2</v>
      </c>
      <c r="AH35" s="73"/>
      <c r="AI35" s="73"/>
      <c r="AJ35" s="75"/>
      <c r="AK35" s="11"/>
    </row>
    <row r="36" spans="1:37" s="2" customFormat="1" ht="16.5" customHeight="1" x14ac:dyDescent="0.2">
      <c r="A36" s="584"/>
      <c r="B36" s="587"/>
      <c r="C36" s="99" t="s">
        <v>4</v>
      </c>
      <c r="D36" s="18">
        <v>1</v>
      </c>
      <c r="E36" s="18" t="s">
        <v>5</v>
      </c>
      <c r="F36" s="18"/>
      <c r="G36" s="18" t="s">
        <v>6</v>
      </c>
      <c r="H36" s="18" t="s">
        <v>10</v>
      </c>
      <c r="I36" s="18">
        <v>45429</v>
      </c>
      <c r="J36" s="18" t="s">
        <v>60</v>
      </c>
      <c r="K36" s="18">
        <v>123457</v>
      </c>
      <c r="L36" s="29">
        <v>1</v>
      </c>
      <c r="M36" s="29">
        <v>1</v>
      </c>
      <c r="N36" s="29">
        <v>1</v>
      </c>
      <c r="O36" s="30">
        <v>50</v>
      </c>
      <c r="P36" s="29">
        <v>43300109097</v>
      </c>
      <c r="Q36" s="18" t="s">
        <v>98</v>
      </c>
      <c r="R36" s="29" t="s">
        <v>9</v>
      </c>
      <c r="S36" s="29" t="s">
        <v>8</v>
      </c>
      <c r="T36" s="29"/>
      <c r="U36" s="29"/>
      <c r="V36" s="30"/>
      <c r="W36" s="29"/>
      <c r="X36" s="30"/>
      <c r="Y36" s="30"/>
      <c r="Z36" s="29"/>
      <c r="AA36" s="30"/>
      <c r="AB36" s="29"/>
      <c r="AC36" s="29"/>
      <c r="AD36" s="30"/>
      <c r="AE36" s="29"/>
      <c r="AF36" s="29" t="s">
        <v>119</v>
      </c>
      <c r="AG36" s="30">
        <v>12</v>
      </c>
      <c r="AH36" s="29"/>
      <c r="AI36" s="29"/>
      <c r="AJ36" s="76"/>
      <c r="AK36" s="11"/>
    </row>
    <row r="37" spans="1:37" s="2" customFormat="1" ht="12.75" x14ac:dyDescent="0.2">
      <c r="A37" s="584"/>
      <c r="B37" s="587"/>
      <c r="C37" s="524"/>
      <c r="D37" s="525"/>
      <c r="E37" s="525"/>
      <c r="F37" s="525"/>
      <c r="G37" s="525"/>
      <c r="H37" s="525"/>
      <c r="I37" s="525"/>
      <c r="J37" s="525"/>
      <c r="K37" s="525"/>
      <c r="L37" s="525"/>
      <c r="M37" s="525"/>
      <c r="N37" s="525"/>
      <c r="O37" s="525"/>
      <c r="P37" s="525"/>
      <c r="Q37" s="525"/>
      <c r="R37" s="525"/>
      <c r="S37" s="525"/>
      <c r="T37" s="525"/>
      <c r="U37" s="525"/>
      <c r="V37" s="525"/>
      <c r="W37" s="525"/>
      <c r="X37" s="525"/>
      <c r="Y37" s="525"/>
      <c r="Z37" s="525"/>
      <c r="AA37" s="525"/>
      <c r="AB37" s="525"/>
      <c r="AC37" s="525"/>
      <c r="AD37" s="525"/>
      <c r="AE37" s="525"/>
      <c r="AF37" s="525"/>
      <c r="AG37" s="525"/>
      <c r="AH37" s="525"/>
      <c r="AI37" s="525"/>
      <c r="AJ37" s="526"/>
      <c r="AK37" s="11"/>
    </row>
    <row r="38" spans="1:37" s="2" customFormat="1" ht="12" customHeight="1" x14ac:dyDescent="0.2">
      <c r="A38" s="584"/>
      <c r="B38" s="587"/>
      <c r="C38" s="123" t="s">
        <v>4</v>
      </c>
      <c r="D38" s="14">
        <v>1</v>
      </c>
      <c r="E38" s="14" t="s">
        <v>5</v>
      </c>
      <c r="F38" s="14"/>
      <c r="G38" s="14" t="s">
        <v>6</v>
      </c>
      <c r="H38" s="14" t="s">
        <v>10</v>
      </c>
      <c r="I38" s="14">
        <v>45429</v>
      </c>
      <c r="J38" s="14" t="s">
        <v>59</v>
      </c>
      <c r="K38" s="14">
        <v>123456</v>
      </c>
      <c r="L38" s="389">
        <v>1</v>
      </c>
      <c r="M38" s="389">
        <v>1</v>
      </c>
      <c r="N38" s="389">
        <v>2</v>
      </c>
      <c r="O38" s="28">
        <v>5</v>
      </c>
      <c r="P38" s="389">
        <v>43300109264</v>
      </c>
      <c r="Q38" s="14" t="s">
        <v>97</v>
      </c>
      <c r="R38" s="389" t="s">
        <v>7</v>
      </c>
      <c r="S38" s="25" t="s">
        <v>13</v>
      </c>
      <c r="T38" s="389"/>
      <c r="U38" s="389"/>
      <c r="V38" s="26"/>
      <c r="W38" s="389"/>
      <c r="X38" s="26"/>
      <c r="Y38" s="27"/>
      <c r="Z38" s="389"/>
      <c r="AA38" s="26"/>
      <c r="AB38" s="25" t="s">
        <v>13</v>
      </c>
      <c r="AC38" s="25">
        <v>2</v>
      </c>
      <c r="AD38" s="28">
        <v>0.25</v>
      </c>
      <c r="AE38" s="19"/>
      <c r="AF38" s="59" t="s">
        <v>119</v>
      </c>
      <c r="AG38" s="207">
        <v>1.2</v>
      </c>
      <c r="AH38" s="28" t="s">
        <v>67</v>
      </c>
      <c r="AI38" s="389"/>
      <c r="AJ38" s="390"/>
      <c r="AK38" s="11"/>
    </row>
    <row r="39" spans="1:37" s="2" customFormat="1" ht="12.75" x14ac:dyDescent="0.2">
      <c r="A39" s="584"/>
      <c r="B39" s="587"/>
      <c r="C39" s="524"/>
      <c r="D39" s="525"/>
      <c r="E39" s="525"/>
      <c r="F39" s="525"/>
      <c r="G39" s="525"/>
      <c r="H39" s="525"/>
      <c r="I39" s="525"/>
      <c r="J39" s="525"/>
      <c r="K39" s="525"/>
      <c r="L39" s="525"/>
      <c r="M39" s="525"/>
      <c r="N39" s="525"/>
      <c r="O39" s="525"/>
      <c r="P39" s="525"/>
      <c r="Q39" s="525"/>
      <c r="R39" s="525"/>
      <c r="S39" s="525"/>
      <c r="T39" s="525"/>
      <c r="U39" s="525"/>
      <c r="V39" s="525"/>
      <c r="W39" s="525"/>
      <c r="X39" s="525"/>
      <c r="Y39" s="525"/>
      <c r="Z39" s="525"/>
      <c r="AA39" s="525"/>
      <c r="AB39" s="525"/>
      <c r="AC39" s="525"/>
      <c r="AD39" s="525"/>
      <c r="AE39" s="525"/>
      <c r="AF39" s="525"/>
      <c r="AG39" s="525"/>
      <c r="AH39" s="525"/>
      <c r="AI39" s="525"/>
      <c r="AJ39" s="526"/>
      <c r="AK39" s="11"/>
    </row>
    <row r="40" spans="1:37" s="2" customFormat="1" ht="15" customHeight="1" thickBot="1" x14ac:dyDescent="0.25">
      <c r="A40" s="585"/>
      <c r="B40" s="588"/>
      <c r="C40" s="122" t="s">
        <v>4</v>
      </c>
      <c r="D40" s="91">
        <v>1</v>
      </c>
      <c r="E40" s="91" t="s">
        <v>5</v>
      </c>
      <c r="F40" s="91"/>
      <c r="G40" s="91" t="s">
        <v>6</v>
      </c>
      <c r="H40" s="91" t="s">
        <v>10</v>
      </c>
      <c r="I40" s="91">
        <v>45429</v>
      </c>
      <c r="J40" s="91" t="s">
        <v>59</v>
      </c>
      <c r="K40" s="91">
        <v>123456</v>
      </c>
      <c r="L40" s="88">
        <v>1</v>
      </c>
      <c r="M40" s="88">
        <v>1</v>
      </c>
      <c r="N40" s="88">
        <v>1</v>
      </c>
      <c r="O40" s="79">
        <v>47.5</v>
      </c>
      <c r="P40" s="182">
        <v>43300109097</v>
      </c>
      <c r="Q40" s="95" t="s">
        <v>98</v>
      </c>
      <c r="R40" s="80" t="s">
        <v>9</v>
      </c>
      <c r="S40" s="81" t="s">
        <v>13</v>
      </c>
      <c r="T40" s="88"/>
      <c r="U40" s="88"/>
      <c r="V40" s="89"/>
      <c r="W40" s="88"/>
      <c r="X40" s="89"/>
      <c r="Y40" s="82"/>
      <c r="Z40" s="88"/>
      <c r="AA40" s="89"/>
      <c r="AB40" s="81" t="s">
        <v>13</v>
      </c>
      <c r="AC40" s="81">
        <v>2</v>
      </c>
      <c r="AD40" s="96">
        <v>2.5</v>
      </c>
      <c r="AE40" s="78"/>
      <c r="AF40" s="83" t="s">
        <v>119</v>
      </c>
      <c r="AG40" s="208">
        <v>12</v>
      </c>
      <c r="AH40" s="79" t="s">
        <v>67</v>
      </c>
      <c r="AI40" s="88"/>
      <c r="AJ40" s="90"/>
      <c r="AK40" s="11"/>
    </row>
    <row r="41" spans="1:37" s="211" customFormat="1" ht="13.5" customHeight="1" thickBot="1" x14ac:dyDescent="0.3">
      <c r="A41" s="245"/>
      <c r="B41" s="246"/>
      <c r="C41" s="412"/>
      <c r="D41" s="247"/>
      <c r="E41" s="247"/>
      <c r="F41" s="247"/>
      <c r="G41" s="247"/>
      <c r="H41" s="247"/>
      <c r="I41" s="247"/>
      <c r="J41" s="247"/>
      <c r="K41" s="247"/>
      <c r="L41" s="247"/>
      <c r="M41" s="247"/>
      <c r="N41" s="247"/>
      <c r="O41" s="247"/>
      <c r="P41" s="248"/>
      <c r="Q41" s="249"/>
      <c r="R41" s="247"/>
      <c r="S41" s="247"/>
      <c r="T41" s="247"/>
      <c r="U41" s="247"/>
      <c r="V41" s="247"/>
      <c r="W41" s="248"/>
      <c r="X41" s="247"/>
      <c r="Y41" s="248"/>
      <c r="Z41" s="248"/>
      <c r="AA41" s="247"/>
      <c r="AB41" s="248"/>
      <c r="AC41" s="247"/>
      <c r="AD41" s="247"/>
      <c r="AE41" s="248"/>
      <c r="AF41" s="247"/>
      <c r="AG41" s="247"/>
      <c r="AH41" s="248"/>
      <c r="AI41" s="247"/>
      <c r="AJ41" s="413"/>
      <c r="AK41" s="404"/>
    </row>
    <row r="42" spans="1:37" ht="15" x14ac:dyDescent="0.25">
      <c r="A42" s="566">
        <v>16</v>
      </c>
      <c r="B42" s="527" t="s">
        <v>103</v>
      </c>
      <c r="C42" s="98" t="s">
        <v>4</v>
      </c>
      <c r="D42" s="72">
        <v>1</v>
      </c>
      <c r="E42" s="72" t="s">
        <v>5</v>
      </c>
      <c r="F42" s="72"/>
      <c r="G42" s="72" t="s">
        <v>6</v>
      </c>
      <c r="H42" s="72" t="s">
        <v>10</v>
      </c>
      <c r="I42" s="72">
        <v>45429</v>
      </c>
      <c r="J42" s="72" t="s">
        <v>60</v>
      </c>
      <c r="K42" s="72">
        <v>123457</v>
      </c>
      <c r="L42" s="73">
        <v>1</v>
      </c>
      <c r="M42" s="73">
        <v>1</v>
      </c>
      <c r="N42" s="73">
        <v>1</v>
      </c>
      <c r="O42" s="74">
        <v>5.25</v>
      </c>
      <c r="P42" s="73">
        <v>27200004171</v>
      </c>
      <c r="Q42" s="72" t="s">
        <v>65</v>
      </c>
      <c r="R42" s="73" t="s">
        <v>7</v>
      </c>
      <c r="S42" s="73" t="s">
        <v>8</v>
      </c>
      <c r="T42" s="73"/>
      <c r="U42" s="73"/>
      <c r="V42" s="74"/>
      <c r="W42" s="73"/>
      <c r="X42" s="74"/>
      <c r="Y42" s="74"/>
      <c r="Z42" s="73"/>
      <c r="AA42" s="74"/>
      <c r="AB42" s="73"/>
      <c r="AC42" s="73"/>
      <c r="AD42" s="74"/>
      <c r="AE42" s="73"/>
      <c r="AF42" s="73" t="s">
        <v>119</v>
      </c>
      <c r="AG42" s="74">
        <v>0.7</v>
      </c>
      <c r="AH42" s="73"/>
      <c r="AI42" s="73"/>
      <c r="AJ42" s="75"/>
    </row>
    <row r="43" spans="1:37" ht="14.25" customHeight="1" x14ac:dyDescent="0.25">
      <c r="A43" s="567"/>
      <c r="B43" s="549"/>
      <c r="C43" s="99" t="s">
        <v>4</v>
      </c>
      <c r="D43" s="18">
        <v>1</v>
      </c>
      <c r="E43" s="18" t="s">
        <v>5</v>
      </c>
      <c r="F43" s="18"/>
      <c r="G43" s="18" t="s">
        <v>6</v>
      </c>
      <c r="H43" s="18" t="s">
        <v>10</v>
      </c>
      <c r="I43" s="18">
        <v>45429</v>
      </c>
      <c r="J43" s="18" t="s">
        <v>60</v>
      </c>
      <c r="K43" s="18">
        <v>123457</v>
      </c>
      <c r="L43" s="29">
        <v>1</v>
      </c>
      <c r="M43" s="29">
        <v>1</v>
      </c>
      <c r="N43" s="29">
        <v>1</v>
      </c>
      <c r="O43" s="30">
        <v>50</v>
      </c>
      <c r="P43" s="29">
        <v>27200018659</v>
      </c>
      <c r="Q43" s="18" t="s">
        <v>66</v>
      </c>
      <c r="R43" s="29" t="s">
        <v>9</v>
      </c>
      <c r="S43" s="29" t="s">
        <v>8</v>
      </c>
      <c r="T43" s="29"/>
      <c r="U43" s="29"/>
      <c r="V43" s="30"/>
      <c r="W43" s="29"/>
      <c r="X43" s="30"/>
      <c r="Y43" s="30"/>
      <c r="Z43" s="29"/>
      <c r="AA43" s="30"/>
      <c r="AB43" s="29"/>
      <c r="AC43" s="29"/>
      <c r="AD43" s="30"/>
      <c r="AE43" s="29"/>
      <c r="AF43" s="29" t="s">
        <v>119</v>
      </c>
      <c r="AG43" s="30">
        <v>7</v>
      </c>
      <c r="AH43" s="29"/>
      <c r="AI43" s="29"/>
      <c r="AJ43" s="76"/>
    </row>
    <row r="44" spans="1:37" s="2" customFormat="1" ht="12.75" x14ac:dyDescent="0.2">
      <c r="A44" s="567"/>
      <c r="B44" s="549"/>
      <c r="C44" s="524"/>
      <c r="D44" s="525"/>
      <c r="E44" s="525"/>
      <c r="F44" s="525"/>
      <c r="G44" s="525"/>
      <c r="H44" s="525"/>
      <c r="I44" s="525"/>
      <c r="J44" s="525"/>
      <c r="K44" s="525"/>
      <c r="L44" s="525"/>
      <c r="M44" s="525"/>
      <c r="N44" s="525"/>
      <c r="O44" s="525"/>
      <c r="P44" s="525"/>
      <c r="Q44" s="525"/>
      <c r="R44" s="525"/>
      <c r="S44" s="525"/>
      <c r="T44" s="525"/>
      <c r="U44" s="525"/>
      <c r="V44" s="525"/>
      <c r="W44" s="525"/>
      <c r="X44" s="525"/>
      <c r="Y44" s="525"/>
      <c r="Z44" s="525"/>
      <c r="AA44" s="525"/>
      <c r="AB44" s="525"/>
      <c r="AC44" s="525"/>
      <c r="AD44" s="525"/>
      <c r="AE44" s="525"/>
      <c r="AF44" s="525"/>
      <c r="AG44" s="525"/>
      <c r="AH44" s="525"/>
      <c r="AI44" s="525"/>
      <c r="AJ44" s="526"/>
      <c r="AK44" s="11"/>
    </row>
    <row r="45" spans="1:37" ht="15" x14ac:dyDescent="0.25">
      <c r="A45" s="567"/>
      <c r="B45" s="549"/>
      <c r="C45" s="123" t="s">
        <v>4</v>
      </c>
      <c r="D45" s="14">
        <v>1</v>
      </c>
      <c r="E45" s="14" t="s">
        <v>5</v>
      </c>
      <c r="F45" s="14"/>
      <c r="G45" s="14" t="s">
        <v>6</v>
      </c>
      <c r="H45" s="14" t="s">
        <v>10</v>
      </c>
      <c r="I45" s="14">
        <v>45429</v>
      </c>
      <c r="J45" s="14" t="s">
        <v>59</v>
      </c>
      <c r="K45" s="14">
        <v>123456</v>
      </c>
      <c r="L45" s="389">
        <v>1</v>
      </c>
      <c r="M45" s="389">
        <v>1</v>
      </c>
      <c r="N45" s="389">
        <v>2</v>
      </c>
      <c r="O45" s="28">
        <v>5</v>
      </c>
      <c r="P45" s="389">
        <v>27200004171</v>
      </c>
      <c r="Q45" s="14" t="s">
        <v>65</v>
      </c>
      <c r="R45" s="389" t="s">
        <v>7</v>
      </c>
      <c r="S45" s="25" t="s">
        <v>13</v>
      </c>
      <c r="T45" s="389"/>
      <c r="U45" s="389"/>
      <c r="V45" s="26"/>
      <c r="W45" s="389"/>
      <c r="X45" s="26"/>
      <c r="Y45" s="27"/>
      <c r="Z45" s="389"/>
      <c r="AA45" s="26"/>
      <c r="AB45" s="25" t="s">
        <v>13</v>
      </c>
      <c r="AC45" s="25">
        <v>2</v>
      </c>
      <c r="AD45" s="28">
        <v>0.25</v>
      </c>
      <c r="AE45" s="19"/>
      <c r="AF45" s="59" t="s">
        <v>119</v>
      </c>
      <c r="AG45" s="207">
        <v>0.7</v>
      </c>
      <c r="AH45" s="28" t="s">
        <v>67</v>
      </c>
      <c r="AI45" s="389"/>
      <c r="AJ45" s="390"/>
    </row>
    <row r="46" spans="1:37" s="2" customFormat="1" ht="12.75" x14ac:dyDescent="0.2">
      <c r="A46" s="567"/>
      <c r="B46" s="549"/>
      <c r="C46" s="524"/>
      <c r="D46" s="525"/>
      <c r="E46" s="525"/>
      <c r="F46" s="525"/>
      <c r="G46" s="525"/>
      <c r="H46" s="525"/>
      <c r="I46" s="525"/>
      <c r="J46" s="525"/>
      <c r="K46" s="525"/>
      <c r="L46" s="525"/>
      <c r="M46" s="525"/>
      <c r="N46" s="525"/>
      <c r="O46" s="525"/>
      <c r="P46" s="525"/>
      <c r="Q46" s="525"/>
      <c r="R46" s="525"/>
      <c r="S46" s="525"/>
      <c r="T46" s="525"/>
      <c r="U46" s="525"/>
      <c r="V46" s="525"/>
      <c r="W46" s="525"/>
      <c r="X46" s="525"/>
      <c r="Y46" s="525"/>
      <c r="Z46" s="525"/>
      <c r="AA46" s="525"/>
      <c r="AB46" s="525"/>
      <c r="AC46" s="525"/>
      <c r="AD46" s="525"/>
      <c r="AE46" s="525"/>
      <c r="AF46" s="525"/>
      <c r="AG46" s="525"/>
      <c r="AH46" s="525"/>
      <c r="AI46" s="525"/>
      <c r="AJ46" s="526"/>
      <c r="AK46" s="11"/>
    </row>
    <row r="47" spans="1:37" ht="15.75" thickBot="1" x14ac:dyDescent="0.3">
      <c r="A47" s="568"/>
      <c r="B47" s="528"/>
      <c r="C47" s="122" t="s">
        <v>4</v>
      </c>
      <c r="D47" s="91">
        <v>1</v>
      </c>
      <c r="E47" s="91" t="s">
        <v>5</v>
      </c>
      <c r="F47" s="91"/>
      <c r="G47" s="91" t="s">
        <v>6</v>
      </c>
      <c r="H47" s="91" t="s">
        <v>10</v>
      </c>
      <c r="I47" s="91">
        <v>45429</v>
      </c>
      <c r="J47" s="91" t="s">
        <v>59</v>
      </c>
      <c r="K47" s="91">
        <v>123456</v>
      </c>
      <c r="L47" s="88">
        <v>1</v>
      </c>
      <c r="M47" s="88">
        <v>1</v>
      </c>
      <c r="N47" s="88">
        <v>1</v>
      </c>
      <c r="O47" s="79">
        <f>O43-AD47</f>
        <v>47.5</v>
      </c>
      <c r="P47" s="182">
        <v>27200018659</v>
      </c>
      <c r="Q47" s="95" t="s">
        <v>66</v>
      </c>
      <c r="R47" s="80" t="s">
        <v>9</v>
      </c>
      <c r="S47" s="81" t="s">
        <v>13</v>
      </c>
      <c r="T47" s="88"/>
      <c r="U47" s="88"/>
      <c r="V47" s="89"/>
      <c r="W47" s="88"/>
      <c r="X47" s="89"/>
      <c r="Y47" s="82"/>
      <c r="Z47" s="88"/>
      <c r="AA47" s="89"/>
      <c r="AB47" s="81" t="s">
        <v>13</v>
      </c>
      <c r="AC47" s="81">
        <v>2</v>
      </c>
      <c r="AD47" s="96">
        <v>2.5</v>
      </c>
      <c r="AE47" s="78"/>
      <c r="AF47" s="83" t="s">
        <v>119</v>
      </c>
      <c r="AG47" s="208">
        <v>7</v>
      </c>
      <c r="AH47" s="79" t="s">
        <v>67</v>
      </c>
      <c r="AI47" s="88"/>
      <c r="AJ47" s="90"/>
    </row>
    <row r="48" spans="1:37" s="211" customFormat="1" ht="13.5" customHeight="1" thickBot="1" x14ac:dyDescent="0.3">
      <c r="A48" s="245"/>
      <c r="B48" s="246"/>
      <c r="C48" s="412"/>
      <c r="D48" s="247"/>
      <c r="E48" s="247"/>
      <c r="F48" s="247"/>
      <c r="G48" s="247"/>
      <c r="H48" s="247"/>
      <c r="I48" s="247"/>
      <c r="J48" s="247"/>
      <c r="K48" s="247"/>
      <c r="L48" s="247"/>
      <c r="M48" s="247"/>
      <c r="N48" s="247"/>
      <c r="O48" s="247"/>
      <c r="P48" s="248"/>
      <c r="Q48" s="249"/>
      <c r="R48" s="247"/>
      <c r="S48" s="247"/>
      <c r="T48" s="247"/>
      <c r="U48" s="247"/>
      <c r="V48" s="247"/>
      <c r="W48" s="248"/>
      <c r="X48" s="247"/>
      <c r="Y48" s="248"/>
      <c r="Z48" s="248"/>
      <c r="AA48" s="247"/>
      <c r="AB48" s="248"/>
      <c r="AC48" s="247"/>
      <c r="AD48" s="247"/>
      <c r="AE48" s="248"/>
      <c r="AF48" s="247"/>
      <c r="AG48" s="247"/>
      <c r="AH48" s="248"/>
      <c r="AI48" s="247"/>
      <c r="AJ48" s="413"/>
      <c r="AK48" s="404"/>
    </row>
    <row r="49" spans="1:37" ht="15" x14ac:dyDescent="0.25">
      <c r="A49" s="566">
        <v>17</v>
      </c>
      <c r="B49" s="527" t="s">
        <v>104</v>
      </c>
      <c r="C49" s="98" t="s">
        <v>4</v>
      </c>
      <c r="D49" s="72">
        <v>1</v>
      </c>
      <c r="E49" s="72" t="s">
        <v>5</v>
      </c>
      <c r="F49" s="72"/>
      <c r="G49" s="72" t="s">
        <v>6</v>
      </c>
      <c r="H49" s="72" t="s">
        <v>10</v>
      </c>
      <c r="I49" s="72">
        <v>45429</v>
      </c>
      <c r="J49" s="72" t="s">
        <v>60</v>
      </c>
      <c r="K49" s="72">
        <v>123457</v>
      </c>
      <c r="L49" s="73">
        <v>1</v>
      </c>
      <c r="M49" s="73">
        <v>1</v>
      </c>
      <c r="N49" s="73">
        <v>1</v>
      </c>
      <c r="O49" s="74">
        <v>7</v>
      </c>
      <c r="P49" s="73">
        <v>47995855253</v>
      </c>
      <c r="Q49" s="72" t="s">
        <v>71</v>
      </c>
      <c r="R49" s="73" t="s">
        <v>7</v>
      </c>
      <c r="S49" s="73" t="s">
        <v>8</v>
      </c>
      <c r="T49" s="73"/>
      <c r="U49" s="73"/>
      <c r="V49" s="74"/>
      <c r="W49" s="73"/>
      <c r="X49" s="74"/>
      <c r="Y49" s="74"/>
      <c r="Z49" s="73"/>
      <c r="AA49" s="74"/>
      <c r="AB49" s="73"/>
      <c r="AC49" s="73"/>
      <c r="AD49" s="74"/>
      <c r="AE49" s="73"/>
      <c r="AF49" s="73" t="s">
        <v>119</v>
      </c>
      <c r="AG49" s="74">
        <v>0.5</v>
      </c>
      <c r="AH49" s="73"/>
      <c r="AI49" s="73"/>
      <c r="AJ49" s="75"/>
    </row>
    <row r="50" spans="1:37" ht="14.65" customHeight="1" x14ac:dyDescent="0.25">
      <c r="A50" s="567"/>
      <c r="B50" s="549"/>
      <c r="C50" s="99" t="s">
        <v>4</v>
      </c>
      <c r="D50" s="18">
        <v>1</v>
      </c>
      <c r="E50" s="18" t="s">
        <v>5</v>
      </c>
      <c r="F50" s="18"/>
      <c r="G50" s="18" t="s">
        <v>6</v>
      </c>
      <c r="H50" s="18" t="s">
        <v>10</v>
      </c>
      <c r="I50" s="18">
        <v>45429</v>
      </c>
      <c r="J50" s="18" t="s">
        <v>60</v>
      </c>
      <c r="K50" s="18">
        <v>123457</v>
      </c>
      <c r="L50" s="29">
        <v>1</v>
      </c>
      <c r="M50" s="29">
        <v>1</v>
      </c>
      <c r="N50" s="29">
        <v>1</v>
      </c>
      <c r="O50" s="30">
        <v>70</v>
      </c>
      <c r="P50" s="29">
        <v>47995855352</v>
      </c>
      <c r="Q50" s="18" t="s">
        <v>71</v>
      </c>
      <c r="R50" s="29" t="s">
        <v>9</v>
      </c>
      <c r="S50" s="29" t="s">
        <v>8</v>
      </c>
      <c r="T50" s="29"/>
      <c r="U50" s="29"/>
      <c r="V50" s="30"/>
      <c r="W50" s="29"/>
      <c r="X50" s="30"/>
      <c r="Y50" s="30"/>
      <c r="Z50" s="29"/>
      <c r="AA50" s="30"/>
      <c r="AB50" s="29"/>
      <c r="AC50" s="29"/>
      <c r="AD50" s="30"/>
      <c r="AE50" s="29"/>
      <c r="AF50" s="29" t="s">
        <v>119</v>
      </c>
      <c r="AG50" s="30">
        <v>5</v>
      </c>
      <c r="AH50" s="29"/>
      <c r="AI50" s="29"/>
      <c r="AJ50" s="76"/>
    </row>
    <row r="51" spans="1:37" s="2" customFormat="1" ht="12.75" x14ac:dyDescent="0.2">
      <c r="A51" s="567"/>
      <c r="B51" s="549"/>
      <c r="C51" s="524"/>
      <c r="D51" s="525"/>
      <c r="E51" s="525"/>
      <c r="F51" s="525"/>
      <c r="G51" s="525"/>
      <c r="H51" s="525"/>
      <c r="I51" s="525"/>
      <c r="J51" s="525"/>
      <c r="K51" s="525"/>
      <c r="L51" s="525"/>
      <c r="M51" s="525"/>
      <c r="N51" s="525"/>
      <c r="O51" s="525"/>
      <c r="P51" s="525"/>
      <c r="Q51" s="525"/>
      <c r="R51" s="525"/>
      <c r="S51" s="525"/>
      <c r="T51" s="525"/>
      <c r="U51" s="525"/>
      <c r="V51" s="525"/>
      <c r="W51" s="525"/>
      <c r="X51" s="525"/>
      <c r="Y51" s="525"/>
      <c r="Z51" s="525"/>
      <c r="AA51" s="525"/>
      <c r="AB51" s="525"/>
      <c r="AC51" s="525"/>
      <c r="AD51" s="525"/>
      <c r="AE51" s="525"/>
      <c r="AF51" s="525"/>
      <c r="AG51" s="525"/>
      <c r="AH51" s="525"/>
      <c r="AI51" s="525"/>
      <c r="AJ51" s="526"/>
      <c r="AK51" s="11"/>
    </row>
    <row r="52" spans="1:37" s="2" customFormat="1" ht="13.15" customHeight="1" x14ac:dyDescent="0.2">
      <c r="A52" s="567"/>
      <c r="B52" s="549"/>
      <c r="C52" s="123" t="s">
        <v>4</v>
      </c>
      <c r="D52" s="14">
        <v>1</v>
      </c>
      <c r="E52" s="14" t="s">
        <v>5</v>
      </c>
      <c r="F52" s="14"/>
      <c r="G52" s="14" t="s">
        <v>6</v>
      </c>
      <c r="H52" s="14" t="s">
        <v>10</v>
      </c>
      <c r="I52" s="14">
        <v>45429</v>
      </c>
      <c r="J52" s="14" t="s">
        <v>59</v>
      </c>
      <c r="K52" s="14">
        <v>123456</v>
      </c>
      <c r="L52" s="389">
        <v>1</v>
      </c>
      <c r="M52" s="389">
        <v>1</v>
      </c>
      <c r="N52" s="389">
        <v>2</v>
      </c>
      <c r="O52" s="28">
        <v>6.5</v>
      </c>
      <c r="P52" s="389">
        <v>47995855253</v>
      </c>
      <c r="Q52" s="14" t="s">
        <v>71</v>
      </c>
      <c r="R52" s="389" t="s">
        <v>7</v>
      </c>
      <c r="S52" s="25" t="s">
        <v>13</v>
      </c>
      <c r="T52" s="389"/>
      <c r="U52" s="389"/>
      <c r="V52" s="26"/>
      <c r="W52" s="389"/>
      <c r="X52" s="26"/>
      <c r="Y52" s="27"/>
      <c r="Z52" s="389"/>
      <c r="AA52" s="26"/>
      <c r="AB52" s="25" t="s">
        <v>13</v>
      </c>
      <c r="AC52" s="25">
        <v>2</v>
      </c>
      <c r="AD52" s="28">
        <v>0.5</v>
      </c>
      <c r="AE52" s="19"/>
      <c r="AF52" s="59" t="s">
        <v>119</v>
      </c>
      <c r="AG52" s="207">
        <v>0.5</v>
      </c>
      <c r="AH52" s="28" t="s">
        <v>67</v>
      </c>
      <c r="AI52" s="389"/>
      <c r="AJ52" s="390"/>
      <c r="AK52" s="11"/>
    </row>
    <row r="53" spans="1:37" s="2" customFormat="1" ht="12.75" x14ac:dyDescent="0.2">
      <c r="A53" s="567"/>
      <c r="B53" s="549"/>
      <c r="C53" s="524"/>
      <c r="D53" s="525"/>
      <c r="E53" s="525"/>
      <c r="F53" s="525"/>
      <c r="G53" s="525"/>
      <c r="H53" s="525"/>
      <c r="I53" s="525"/>
      <c r="J53" s="525"/>
      <c r="K53" s="525"/>
      <c r="L53" s="525"/>
      <c r="M53" s="525"/>
      <c r="N53" s="525"/>
      <c r="O53" s="525"/>
      <c r="P53" s="525"/>
      <c r="Q53" s="525"/>
      <c r="R53" s="525"/>
      <c r="S53" s="525"/>
      <c r="T53" s="525"/>
      <c r="U53" s="525"/>
      <c r="V53" s="525"/>
      <c r="W53" s="525"/>
      <c r="X53" s="525"/>
      <c r="Y53" s="525"/>
      <c r="Z53" s="525"/>
      <c r="AA53" s="525"/>
      <c r="AB53" s="525"/>
      <c r="AC53" s="525"/>
      <c r="AD53" s="525"/>
      <c r="AE53" s="525"/>
      <c r="AF53" s="525"/>
      <c r="AG53" s="525"/>
      <c r="AH53" s="525"/>
      <c r="AI53" s="525"/>
      <c r="AJ53" s="526"/>
      <c r="AK53" s="11"/>
    </row>
    <row r="54" spans="1:37" s="2" customFormat="1" ht="13.15" customHeight="1" thickBot="1" x14ac:dyDescent="0.25">
      <c r="A54" s="568"/>
      <c r="B54" s="528"/>
      <c r="C54" s="122" t="s">
        <v>4</v>
      </c>
      <c r="D54" s="91">
        <v>1</v>
      </c>
      <c r="E54" s="91" t="s">
        <v>5</v>
      </c>
      <c r="F54" s="91"/>
      <c r="G54" s="91" t="s">
        <v>6</v>
      </c>
      <c r="H54" s="91" t="s">
        <v>10</v>
      </c>
      <c r="I54" s="91">
        <v>45429</v>
      </c>
      <c r="J54" s="91" t="s">
        <v>59</v>
      </c>
      <c r="K54" s="91">
        <v>123456</v>
      </c>
      <c r="L54" s="88">
        <v>1</v>
      </c>
      <c r="M54" s="88">
        <v>1</v>
      </c>
      <c r="N54" s="88">
        <v>1</v>
      </c>
      <c r="O54" s="79">
        <v>65</v>
      </c>
      <c r="P54" s="182">
        <v>47995855352</v>
      </c>
      <c r="Q54" s="95" t="s">
        <v>71</v>
      </c>
      <c r="R54" s="80" t="s">
        <v>9</v>
      </c>
      <c r="S54" s="81" t="s">
        <v>13</v>
      </c>
      <c r="T54" s="88"/>
      <c r="U54" s="88"/>
      <c r="V54" s="89"/>
      <c r="W54" s="88"/>
      <c r="X54" s="89"/>
      <c r="Y54" s="82"/>
      <c r="Z54" s="88"/>
      <c r="AA54" s="89"/>
      <c r="AB54" s="81" t="s">
        <v>13</v>
      </c>
      <c r="AC54" s="81">
        <v>2</v>
      </c>
      <c r="AD54" s="96">
        <v>5</v>
      </c>
      <c r="AE54" s="78"/>
      <c r="AF54" s="83" t="s">
        <v>119</v>
      </c>
      <c r="AG54" s="208">
        <v>5</v>
      </c>
      <c r="AH54" s="79" t="s">
        <v>67</v>
      </c>
      <c r="AI54" s="88"/>
      <c r="AJ54" s="90"/>
      <c r="AK54" s="11"/>
    </row>
    <row r="55" spans="1:37" s="211" customFormat="1" ht="15.95" customHeight="1" thickBot="1" x14ac:dyDescent="0.3">
      <c r="A55" s="245"/>
      <c r="B55" s="246"/>
      <c r="C55" s="412"/>
      <c r="D55" s="247"/>
      <c r="E55" s="247"/>
      <c r="F55" s="247"/>
      <c r="G55" s="247"/>
      <c r="H55" s="247"/>
      <c r="I55" s="247"/>
      <c r="J55" s="247"/>
      <c r="K55" s="247"/>
      <c r="L55" s="247"/>
      <c r="M55" s="247"/>
      <c r="N55" s="247"/>
      <c r="O55" s="247"/>
      <c r="P55" s="248"/>
      <c r="Q55" s="249"/>
      <c r="R55" s="247"/>
      <c r="S55" s="247"/>
      <c r="T55" s="247"/>
      <c r="U55" s="247"/>
      <c r="V55" s="247"/>
      <c r="W55" s="248"/>
      <c r="X55" s="247"/>
      <c r="Y55" s="248"/>
      <c r="Z55" s="248"/>
      <c r="AA55" s="247"/>
      <c r="AB55" s="248"/>
      <c r="AC55" s="247"/>
      <c r="AD55" s="247"/>
      <c r="AE55" s="248"/>
      <c r="AF55" s="247"/>
      <c r="AG55" s="247"/>
      <c r="AH55" s="248"/>
      <c r="AI55" s="247"/>
      <c r="AJ55" s="413"/>
      <c r="AK55" s="404"/>
    </row>
    <row r="56" spans="1:37" s="2" customFormat="1" ht="12.75" x14ac:dyDescent="0.2">
      <c r="A56" s="566">
        <v>18</v>
      </c>
      <c r="B56" s="527" t="s">
        <v>105</v>
      </c>
      <c r="C56" s="98" t="s">
        <v>4</v>
      </c>
      <c r="D56" s="72">
        <v>1</v>
      </c>
      <c r="E56" s="72" t="s">
        <v>5</v>
      </c>
      <c r="F56" s="72"/>
      <c r="G56" s="72" t="s">
        <v>6</v>
      </c>
      <c r="H56" s="72" t="s">
        <v>10</v>
      </c>
      <c r="I56" s="72">
        <v>45429</v>
      </c>
      <c r="J56" s="72" t="s">
        <v>60</v>
      </c>
      <c r="K56" s="72">
        <v>123457</v>
      </c>
      <c r="L56" s="73">
        <v>1</v>
      </c>
      <c r="M56" s="73">
        <v>1</v>
      </c>
      <c r="N56" s="73">
        <v>1</v>
      </c>
      <c r="O56" s="74">
        <v>3</v>
      </c>
      <c r="P56" s="73">
        <v>42100011258</v>
      </c>
      <c r="Q56" s="72" t="s">
        <v>18</v>
      </c>
      <c r="R56" s="73" t="s">
        <v>73</v>
      </c>
      <c r="S56" s="73" t="s">
        <v>8</v>
      </c>
      <c r="T56" s="73"/>
      <c r="U56" s="73"/>
      <c r="V56" s="74"/>
      <c r="W56" s="73"/>
      <c r="X56" s="74"/>
      <c r="Y56" s="74"/>
      <c r="Z56" s="73"/>
      <c r="AA56" s="74"/>
      <c r="AB56" s="73"/>
      <c r="AC56" s="73"/>
      <c r="AD56" s="74"/>
      <c r="AE56" s="73"/>
      <c r="AF56" s="73" t="s">
        <v>119</v>
      </c>
      <c r="AG56" s="74">
        <v>0.5</v>
      </c>
      <c r="AH56" s="73"/>
      <c r="AI56" s="73"/>
      <c r="AJ56" s="75"/>
      <c r="AK56" s="11"/>
    </row>
    <row r="57" spans="1:37" s="2" customFormat="1" ht="12.75" x14ac:dyDescent="0.2">
      <c r="A57" s="567"/>
      <c r="B57" s="549"/>
      <c r="C57" s="99" t="s">
        <v>4</v>
      </c>
      <c r="D57" s="18">
        <v>1</v>
      </c>
      <c r="E57" s="18" t="s">
        <v>5</v>
      </c>
      <c r="F57" s="18"/>
      <c r="G57" s="18" t="s">
        <v>6</v>
      </c>
      <c r="H57" s="18" t="s">
        <v>10</v>
      </c>
      <c r="I57" s="18">
        <v>45429</v>
      </c>
      <c r="J57" s="18" t="s">
        <v>60</v>
      </c>
      <c r="K57" s="18">
        <v>123457</v>
      </c>
      <c r="L57" s="29">
        <v>1</v>
      </c>
      <c r="M57" s="29">
        <v>1</v>
      </c>
      <c r="N57" s="29">
        <v>1</v>
      </c>
      <c r="O57" s="30">
        <v>15</v>
      </c>
      <c r="P57" s="29">
        <v>42100011265</v>
      </c>
      <c r="Q57" s="18" t="s">
        <v>18</v>
      </c>
      <c r="R57" s="29" t="s">
        <v>72</v>
      </c>
      <c r="S57" s="29" t="s">
        <v>8</v>
      </c>
      <c r="T57" s="29"/>
      <c r="U57" s="29"/>
      <c r="V57" s="30"/>
      <c r="W57" s="29"/>
      <c r="X57" s="30"/>
      <c r="Y57" s="30"/>
      <c r="Z57" s="29"/>
      <c r="AA57" s="30"/>
      <c r="AB57" s="29"/>
      <c r="AC57" s="29"/>
      <c r="AD57" s="30"/>
      <c r="AE57" s="29"/>
      <c r="AF57" s="29" t="s">
        <v>119</v>
      </c>
      <c r="AG57" s="30">
        <v>2.5</v>
      </c>
      <c r="AH57" s="29"/>
      <c r="AI57" s="29"/>
      <c r="AJ57" s="76"/>
      <c r="AK57" s="11"/>
    </row>
    <row r="58" spans="1:37" s="2" customFormat="1" ht="12.75" x14ac:dyDescent="0.2">
      <c r="A58" s="567"/>
      <c r="B58" s="549"/>
      <c r="C58" s="524"/>
      <c r="D58" s="525"/>
      <c r="E58" s="525"/>
      <c r="F58" s="525"/>
      <c r="G58" s="525"/>
      <c r="H58" s="525"/>
      <c r="I58" s="525"/>
      <c r="J58" s="525"/>
      <c r="K58" s="525"/>
      <c r="L58" s="525"/>
      <c r="M58" s="525"/>
      <c r="N58" s="525"/>
      <c r="O58" s="525"/>
      <c r="P58" s="525"/>
      <c r="Q58" s="525"/>
      <c r="R58" s="525"/>
      <c r="S58" s="525"/>
      <c r="T58" s="525"/>
      <c r="U58" s="525"/>
      <c r="V58" s="525"/>
      <c r="W58" s="525"/>
      <c r="X58" s="525"/>
      <c r="Y58" s="525"/>
      <c r="Z58" s="525"/>
      <c r="AA58" s="525"/>
      <c r="AB58" s="525"/>
      <c r="AC58" s="525"/>
      <c r="AD58" s="525"/>
      <c r="AE58" s="525"/>
      <c r="AF58" s="525"/>
      <c r="AG58" s="525"/>
      <c r="AH58" s="525"/>
      <c r="AI58" s="525"/>
      <c r="AJ58" s="526"/>
      <c r="AK58" s="11"/>
    </row>
    <row r="59" spans="1:37" s="2" customFormat="1" ht="12.75" x14ac:dyDescent="0.2">
      <c r="A59" s="567"/>
      <c r="B59" s="549"/>
      <c r="C59" s="123" t="s">
        <v>4</v>
      </c>
      <c r="D59" s="14">
        <v>1</v>
      </c>
      <c r="E59" s="14" t="s">
        <v>5</v>
      </c>
      <c r="F59" s="14"/>
      <c r="G59" s="14" t="s">
        <v>6</v>
      </c>
      <c r="H59" s="14" t="s">
        <v>10</v>
      </c>
      <c r="I59" s="14">
        <v>45429</v>
      </c>
      <c r="J59" s="14" t="s">
        <v>59</v>
      </c>
      <c r="K59" s="14">
        <v>123456</v>
      </c>
      <c r="L59" s="389">
        <v>1</v>
      </c>
      <c r="M59" s="389">
        <v>1</v>
      </c>
      <c r="N59" s="389">
        <v>2</v>
      </c>
      <c r="O59" s="28">
        <v>2.75</v>
      </c>
      <c r="P59" s="389">
        <v>42100011258</v>
      </c>
      <c r="Q59" s="14" t="s">
        <v>18</v>
      </c>
      <c r="R59" s="389" t="s">
        <v>73</v>
      </c>
      <c r="S59" s="25" t="s">
        <v>13</v>
      </c>
      <c r="T59" s="389"/>
      <c r="U59" s="389"/>
      <c r="V59" s="26"/>
      <c r="W59" s="389"/>
      <c r="X59" s="26"/>
      <c r="Y59" s="27"/>
      <c r="Z59" s="389"/>
      <c r="AA59" s="26"/>
      <c r="AB59" s="25" t="s">
        <v>13</v>
      </c>
      <c r="AC59" s="25">
        <v>2</v>
      </c>
      <c r="AD59" s="28">
        <v>0.25</v>
      </c>
      <c r="AE59" s="19"/>
      <c r="AF59" s="59" t="s">
        <v>119</v>
      </c>
      <c r="AG59" s="207">
        <v>0.5</v>
      </c>
      <c r="AH59" s="28" t="s">
        <v>67</v>
      </c>
      <c r="AI59" s="389"/>
      <c r="AJ59" s="390"/>
      <c r="AK59" s="11"/>
    </row>
    <row r="60" spans="1:37" s="2" customFormat="1" ht="12.75" x14ac:dyDescent="0.2">
      <c r="A60" s="567"/>
      <c r="B60" s="549"/>
      <c r="C60" s="524"/>
      <c r="D60" s="525"/>
      <c r="E60" s="525"/>
      <c r="F60" s="525"/>
      <c r="G60" s="525"/>
      <c r="H60" s="525"/>
      <c r="I60" s="525"/>
      <c r="J60" s="525"/>
      <c r="K60" s="525"/>
      <c r="L60" s="525"/>
      <c r="M60" s="525"/>
      <c r="N60" s="525"/>
      <c r="O60" s="525"/>
      <c r="P60" s="525"/>
      <c r="Q60" s="525"/>
      <c r="R60" s="525"/>
      <c r="S60" s="525"/>
      <c r="T60" s="525"/>
      <c r="U60" s="525"/>
      <c r="V60" s="525"/>
      <c r="W60" s="525"/>
      <c r="X60" s="525"/>
      <c r="Y60" s="525"/>
      <c r="Z60" s="525"/>
      <c r="AA60" s="525"/>
      <c r="AB60" s="525"/>
      <c r="AC60" s="525"/>
      <c r="AD60" s="525"/>
      <c r="AE60" s="525"/>
      <c r="AF60" s="525"/>
      <c r="AG60" s="525"/>
      <c r="AH60" s="525"/>
      <c r="AI60" s="525"/>
      <c r="AJ60" s="526"/>
      <c r="AK60" s="11"/>
    </row>
    <row r="61" spans="1:37" s="2" customFormat="1" ht="13.5" thickBot="1" x14ac:dyDescent="0.25">
      <c r="A61" s="568"/>
      <c r="B61" s="528"/>
      <c r="C61" s="122" t="s">
        <v>4</v>
      </c>
      <c r="D61" s="91">
        <v>1</v>
      </c>
      <c r="E61" s="91" t="s">
        <v>5</v>
      </c>
      <c r="F61" s="91"/>
      <c r="G61" s="91" t="s">
        <v>6</v>
      </c>
      <c r="H61" s="91" t="s">
        <v>10</v>
      </c>
      <c r="I61" s="91">
        <v>45429</v>
      </c>
      <c r="J61" s="91" t="s">
        <v>59</v>
      </c>
      <c r="K61" s="91">
        <v>123456</v>
      </c>
      <c r="L61" s="88">
        <v>1</v>
      </c>
      <c r="M61" s="88">
        <v>1</v>
      </c>
      <c r="N61" s="88">
        <v>1</v>
      </c>
      <c r="O61" s="79">
        <v>13.75</v>
      </c>
      <c r="P61" s="182">
        <v>42100011265</v>
      </c>
      <c r="Q61" s="95" t="s">
        <v>18</v>
      </c>
      <c r="R61" s="80" t="s">
        <v>72</v>
      </c>
      <c r="S61" s="81" t="s">
        <v>13</v>
      </c>
      <c r="T61" s="88"/>
      <c r="U61" s="88"/>
      <c r="V61" s="89"/>
      <c r="W61" s="88"/>
      <c r="X61" s="89"/>
      <c r="Y61" s="82"/>
      <c r="Z61" s="88"/>
      <c r="AA61" s="89"/>
      <c r="AB61" s="81" t="s">
        <v>13</v>
      </c>
      <c r="AC61" s="81">
        <v>2</v>
      </c>
      <c r="AD61" s="96">
        <v>1.25</v>
      </c>
      <c r="AE61" s="78"/>
      <c r="AF61" s="83" t="s">
        <v>119</v>
      </c>
      <c r="AG61" s="208">
        <v>2.5</v>
      </c>
      <c r="AH61" s="79" t="s">
        <v>67</v>
      </c>
      <c r="AI61" s="88"/>
      <c r="AJ61" s="90"/>
      <c r="AK61" s="11"/>
    </row>
    <row r="62" spans="1:37" s="211" customFormat="1" ht="13.5" customHeight="1" thickBot="1" x14ac:dyDescent="0.3">
      <c r="A62" s="245"/>
      <c r="B62" s="246"/>
      <c r="C62" s="412"/>
      <c r="D62" s="247"/>
      <c r="E62" s="247"/>
      <c r="F62" s="247"/>
      <c r="G62" s="247"/>
      <c r="H62" s="247"/>
      <c r="I62" s="247"/>
      <c r="J62" s="247"/>
      <c r="K62" s="247"/>
      <c r="L62" s="247"/>
      <c r="M62" s="247"/>
      <c r="N62" s="247"/>
      <c r="O62" s="247"/>
      <c r="P62" s="248"/>
      <c r="Q62" s="249"/>
      <c r="R62" s="247"/>
      <c r="S62" s="247"/>
      <c r="T62" s="247"/>
      <c r="U62" s="247"/>
      <c r="V62" s="247"/>
      <c r="W62" s="248"/>
      <c r="X62" s="247"/>
      <c r="Y62" s="248"/>
      <c r="Z62" s="248"/>
      <c r="AA62" s="247"/>
      <c r="AB62" s="248"/>
      <c r="AC62" s="247"/>
      <c r="AD62" s="247"/>
      <c r="AE62" s="248"/>
      <c r="AF62" s="247"/>
      <c r="AG62" s="247"/>
      <c r="AH62" s="248"/>
      <c r="AI62" s="247"/>
      <c r="AJ62" s="413"/>
      <c r="AK62" s="404"/>
    </row>
    <row r="63" spans="1:37" s="2" customFormat="1" ht="12.75" customHeight="1" x14ac:dyDescent="0.2">
      <c r="A63" s="592" t="s">
        <v>114</v>
      </c>
      <c r="B63" s="589" t="s">
        <v>121</v>
      </c>
      <c r="C63" s="98" t="s">
        <v>4</v>
      </c>
      <c r="D63" s="72">
        <v>1</v>
      </c>
      <c r="E63" s="72" t="s">
        <v>5</v>
      </c>
      <c r="F63" s="72"/>
      <c r="G63" s="72" t="s">
        <v>6</v>
      </c>
      <c r="H63" s="72" t="s">
        <v>10</v>
      </c>
      <c r="I63" s="72">
        <v>45429</v>
      </c>
      <c r="J63" s="72" t="s">
        <v>60</v>
      </c>
      <c r="K63" s="72">
        <v>123457</v>
      </c>
      <c r="L63" s="73">
        <v>1</v>
      </c>
      <c r="M63" s="73">
        <v>1</v>
      </c>
      <c r="N63" s="73">
        <v>1</v>
      </c>
      <c r="O63" s="74">
        <v>3</v>
      </c>
      <c r="P63" s="73">
        <v>42100008715</v>
      </c>
      <c r="Q63" s="72" t="s">
        <v>109</v>
      </c>
      <c r="R63" s="73" t="s">
        <v>73</v>
      </c>
      <c r="S63" s="73" t="s">
        <v>8</v>
      </c>
      <c r="T63" s="73"/>
      <c r="U63" s="73"/>
      <c r="V63" s="74"/>
      <c r="W63" s="73"/>
      <c r="X63" s="74"/>
      <c r="Y63" s="74"/>
      <c r="Z63" s="73"/>
      <c r="AA63" s="74"/>
      <c r="AB63" s="73"/>
      <c r="AC63" s="73"/>
      <c r="AD63" s="74"/>
      <c r="AE63" s="73"/>
      <c r="AF63" s="73"/>
      <c r="AG63" s="74"/>
      <c r="AH63" s="73"/>
      <c r="AI63" s="73"/>
      <c r="AJ63" s="75"/>
      <c r="AK63" s="11"/>
    </row>
    <row r="64" spans="1:37" s="2" customFormat="1" ht="12.75" customHeight="1" x14ac:dyDescent="0.2">
      <c r="A64" s="593"/>
      <c r="B64" s="590"/>
      <c r="C64" s="524"/>
      <c r="D64" s="525"/>
      <c r="E64" s="525"/>
      <c r="F64" s="525"/>
      <c r="G64" s="525"/>
      <c r="H64" s="525"/>
      <c r="I64" s="525"/>
      <c r="J64" s="525"/>
      <c r="K64" s="525"/>
      <c r="L64" s="525"/>
      <c r="M64" s="525"/>
      <c r="N64" s="525"/>
      <c r="O64" s="525"/>
      <c r="P64" s="525"/>
      <c r="Q64" s="525"/>
      <c r="R64" s="525"/>
      <c r="S64" s="525"/>
      <c r="T64" s="525"/>
      <c r="U64" s="525"/>
      <c r="V64" s="525"/>
      <c r="W64" s="525"/>
      <c r="X64" s="525"/>
      <c r="Y64" s="525"/>
      <c r="Z64" s="525"/>
      <c r="AA64" s="525"/>
      <c r="AB64" s="525"/>
      <c r="AC64" s="525"/>
      <c r="AD64" s="525"/>
      <c r="AE64" s="525"/>
      <c r="AF64" s="525"/>
      <c r="AG64" s="525"/>
      <c r="AH64" s="525"/>
      <c r="AI64" s="525"/>
      <c r="AJ64" s="526"/>
      <c r="AK64" s="11"/>
    </row>
    <row r="65" spans="1:37" s="2" customFormat="1" ht="12" customHeight="1" thickBot="1" x14ac:dyDescent="0.25">
      <c r="A65" s="594"/>
      <c r="B65" s="591"/>
      <c r="C65" s="122" t="s">
        <v>4</v>
      </c>
      <c r="D65" s="91">
        <v>1</v>
      </c>
      <c r="E65" s="91" t="s">
        <v>5</v>
      </c>
      <c r="F65" s="91"/>
      <c r="G65" s="91" t="s">
        <v>6</v>
      </c>
      <c r="H65" s="91" t="s">
        <v>10</v>
      </c>
      <c r="I65" s="91">
        <v>45429</v>
      </c>
      <c r="J65" s="91" t="s">
        <v>59</v>
      </c>
      <c r="K65" s="91">
        <v>123456</v>
      </c>
      <c r="L65" s="88">
        <v>1</v>
      </c>
      <c r="M65" s="88">
        <v>1</v>
      </c>
      <c r="N65" s="88">
        <v>1</v>
      </c>
      <c r="O65" s="79">
        <v>4.5</v>
      </c>
      <c r="P65" s="88">
        <v>42100023305</v>
      </c>
      <c r="Q65" s="91" t="s">
        <v>110</v>
      </c>
      <c r="R65" s="88" t="s">
        <v>73</v>
      </c>
      <c r="S65" s="81" t="s">
        <v>13</v>
      </c>
      <c r="T65" s="88"/>
      <c r="U65" s="88"/>
      <c r="V65" s="89"/>
      <c r="W65" s="88"/>
      <c r="X65" s="89"/>
      <c r="Y65" s="79">
        <v>1</v>
      </c>
      <c r="Z65" s="88"/>
      <c r="AA65" s="89"/>
      <c r="AB65" s="81" t="s">
        <v>13</v>
      </c>
      <c r="AC65" s="81">
        <v>2</v>
      </c>
      <c r="AD65" s="79">
        <v>0.5</v>
      </c>
      <c r="AE65" s="81" t="s">
        <v>127</v>
      </c>
      <c r="AF65" s="83" t="s">
        <v>119</v>
      </c>
      <c r="AG65" s="208">
        <v>1</v>
      </c>
      <c r="AH65" s="79" t="s">
        <v>67</v>
      </c>
      <c r="AI65" s="88"/>
      <c r="AJ65" s="90"/>
      <c r="AK65" s="11"/>
    </row>
    <row r="66" spans="1:37" s="211" customFormat="1" ht="13.5" customHeight="1" thickBot="1" x14ac:dyDescent="0.3">
      <c r="A66" s="245"/>
      <c r="B66" s="246"/>
      <c r="C66" s="412"/>
      <c r="D66" s="247"/>
      <c r="E66" s="247"/>
      <c r="F66" s="247"/>
      <c r="G66" s="247"/>
      <c r="H66" s="247"/>
      <c r="I66" s="247"/>
      <c r="J66" s="247"/>
      <c r="K66" s="247"/>
      <c r="L66" s="247"/>
      <c r="M66" s="247"/>
      <c r="N66" s="247"/>
      <c r="O66" s="247"/>
      <c r="P66" s="248"/>
      <c r="Q66" s="249"/>
      <c r="R66" s="247"/>
      <c r="S66" s="247"/>
      <c r="T66" s="247"/>
      <c r="U66" s="247"/>
      <c r="V66" s="247"/>
      <c r="W66" s="248"/>
      <c r="X66" s="247"/>
      <c r="Y66" s="248"/>
      <c r="Z66" s="248"/>
      <c r="AA66" s="247"/>
      <c r="AB66" s="248"/>
      <c r="AC66" s="247"/>
      <c r="AD66" s="247"/>
      <c r="AE66" s="248"/>
      <c r="AF66" s="247"/>
      <c r="AG66" s="247"/>
      <c r="AH66" s="248"/>
      <c r="AI66" s="247"/>
      <c r="AJ66" s="413"/>
      <c r="AK66" s="404"/>
    </row>
    <row r="67" spans="1:37" s="2" customFormat="1" ht="12.75" x14ac:dyDescent="0.2">
      <c r="A67" s="595">
        <v>19</v>
      </c>
      <c r="B67" s="598" t="s">
        <v>106</v>
      </c>
      <c r="C67" s="98" t="s">
        <v>4</v>
      </c>
      <c r="D67" s="72">
        <v>1</v>
      </c>
      <c r="E67" s="72" t="s">
        <v>5</v>
      </c>
      <c r="F67" s="72"/>
      <c r="G67" s="72" t="s">
        <v>6</v>
      </c>
      <c r="H67" s="72" t="s">
        <v>10</v>
      </c>
      <c r="I67" s="72">
        <v>45429</v>
      </c>
      <c r="J67" s="72" t="s">
        <v>60</v>
      </c>
      <c r="K67" s="72">
        <v>123457</v>
      </c>
      <c r="L67" s="73">
        <v>1</v>
      </c>
      <c r="M67" s="73">
        <v>1</v>
      </c>
      <c r="N67" s="73">
        <v>1</v>
      </c>
      <c r="O67" s="74">
        <v>11.99</v>
      </c>
      <c r="P67" s="183">
        <v>849205023458</v>
      </c>
      <c r="Q67" s="92" t="s">
        <v>116</v>
      </c>
      <c r="R67" s="73" t="s">
        <v>7</v>
      </c>
      <c r="S67" s="73" t="s">
        <v>8</v>
      </c>
      <c r="T67" s="73"/>
      <c r="U67" s="73"/>
      <c r="V67" s="74"/>
      <c r="W67" s="73"/>
      <c r="X67" s="74"/>
      <c r="Y67" s="74"/>
      <c r="Z67" s="73"/>
      <c r="AA67" s="74"/>
      <c r="AB67" s="73"/>
      <c r="AC67" s="73"/>
      <c r="AD67" s="74"/>
      <c r="AE67" s="73"/>
      <c r="AF67" s="73"/>
      <c r="AG67" s="74"/>
      <c r="AH67" s="73"/>
      <c r="AI67" s="73"/>
      <c r="AJ67" s="75"/>
      <c r="AK67" s="11"/>
    </row>
    <row r="68" spans="1:37" s="2" customFormat="1" ht="14.65" customHeight="1" x14ac:dyDescent="0.2">
      <c r="A68" s="596"/>
      <c r="B68" s="599"/>
      <c r="C68" s="99" t="s">
        <v>4</v>
      </c>
      <c r="D68" s="18">
        <v>1</v>
      </c>
      <c r="E68" s="18" t="s">
        <v>5</v>
      </c>
      <c r="F68" s="18"/>
      <c r="G68" s="18" t="s">
        <v>6</v>
      </c>
      <c r="H68" s="18" t="s">
        <v>10</v>
      </c>
      <c r="I68" s="18">
        <v>45429</v>
      </c>
      <c r="J68" s="18" t="s">
        <v>60</v>
      </c>
      <c r="K68" s="18">
        <v>123457</v>
      </c>
      <c r="L68" s="29">
        <v>1</v>
      </c>
      <c r="M68" s="29">
        <v>1</v>
      </c>
      <c r="N68" s="29">
        <v>1</v>
      </c>
      <c r="O68" s="30">
        <v>59.95</v>
      </c>
      <c r="P68" s="184">
        <v>849205023465</v>
      </c>
      <c r="Q68" s="21" t="s">
        <v>116</v>
      </c>
      <c r="R68" s="29" t="s">
        <v>9</v>
      </c>
      <c r="S68" s="29" t="s">
        <v>8</v>
      </c>
      <c r="T68" s="29"/>
      <c r="U68" s="29"/>
      <c r="V68" s="30"/>
      <c r="W68" s="29"/>
      <c r="X68" s="30"/>
      <c r="Y68" s="30"/>
      <c r="Z68" s="29"/>
      <c r="AA68" s="30"/>
      <c r="AB68" s="29"/>
      <c r="AC68" s="29"/>
      <c r="AD68" s="30"/>
      <c r="AE68" s="29"/>
      <c r="AF68" s="29"/>
      <c r="AG68" s="30"/>
      <c r="AH68" s="29"/>
      <c r="AI68" s="29"/>
      <c r="AJ68" s="76"/>
      <c r="AK68" s="11"/>
    </row>
    <row r="69" spans="1:37" s="2" customFormat="1" ht="12.75" x14ac:dyDescent="0.2">
      <c r="A69" s="596"/>
      <c r="B69" s="599"/>
      <c r="C69" s="524"/>
      <c r="D69" s="525"/>
      <c r="E69" s="525"/>
      <c r="F69" s="525"/>
      <c r="G69" s="525"/>
      <c r="H69" s="525"/>
      <c r="I69" s="525"/>
      <c r="J69" s="525"/>
      <c r="K69" s="525"/>
      <c r="L69" s="525"/>
      <c r="M69" s="525"/>
      <c r="N69" s="525"/>
      <c r="O69" s="525"/>
      <c r="P69" s="525"/>
      <c r="Q69" s="525"/>
      <c r="R69" s="525"/>
      <c r="S69" s="525"/>
      <c r="T69" s="525"/>
      <c r="U69" s="525"/>
      <c r="V69" s="525"/>
      <c r="W69" s="525"/>
      <c r="X69" s="525"/>
      <c r="Y69" s="525"/>
      <c r="Z69" s="525"/>
      <c r="AA69" s="525"/>
      <c r="AB69" s="525"/>
      <c r="AC69" s="525"/>
      <c r="AD69" s="525"/>
      <c r="AE69" s="525"/>
      <c r="AF69" s="525"/>
      <c r="AG69" s="525"/>
      <c r="AH69" s="525"/>
      <c r="AI69" s="525"/>
      <c r="AJ69" s="526"/>
      <c r="AK69" s="11"/>
    </row>
    <row r="70" spans="1:37" s="2" customFormat="1" ht="12.75" x14ac:dyDescent="0.2">
      <c r="A70" s="596"/>
      <c r="B70" s="599"/>
      <c r="C70" s="123" t="s">
        <v>4</v>
      </c>
      <c r="D70" s="14">
        <v>1</v>
      </c>
      <c r="E70" s="14" t="s">
        <v>5</v>
      </c>
      <c r="F70" s="14"/>
      <c r="G70" s="14" t="s">
        <v>6</v>
      </c>
      <c r="H70" s="14" t="s">
        <v>10</v>
      </c>
      <c r="I70" s="14">
        <v>45429</v>
      </c>
      <c r="J70" s="14" t="s">
        <v>59</v>
      </c>
      <c r="K70" s="14">
        <v>123456</v>
      </c>
      <c r="L70" s="389">
        <v>1</v>
      </c>
      <c r="M70" s="389">
        <v>1</v>
      </c>
      <c r="N70" s="389">
        <v>2</v>
      </c>
      <c r="O70" s="60">
        <v>7.99</v>
      </c>
      <c r="P70" s="199">
        <v>849205023458</v>
      </c>
      <c r="Q70" s="17" t="s">
        <v>116</v>
      </c>
      <c r="R70" s="389" t="s">
        <v>94</v>
      </c>
      <c r="S70" s="25" t="s">
        <v>13</v>
      </c>
      <c r="T70" s="389"/>
      <c r="U70" s="389"/>
      <c r="V70" s="26"/>
      <c r="W70" s="389"/>
      <c r="X70" s="26"/>
      <c r="Y70" s="27"/>
      <c r="Z70" s="389"/>
      <c r="AA70" s="26"/>
      <c r="AB70" s="25" t="s">
        <v>13</v>
      </c>
      <c r="AC70" s="25">
        <v>2</v>
      </c>
      <c r="AD70" s="28">
        <v>4</v>
      </c>
      <c r="AE70" s="19"/>
      <c r="AF70" s="19"/>
      <c r="AG70" s="27"/>
      <c r="AH70" s="28" t="s">
        <v>67</v>
      </c>
      <c r="AI70" s="389"/>
      <c r="AJ70" s="390"/>
      <c r="AK70" s="11"/>
    </row>
    <row r="71" spans="1:37" s="2" customFormat="1" ht="12.75" x14ac:dyDescent="0.2">
      <c r="A71" s="596"/>
      <c r="B71" s="599"/>
      <c r="C71" s="524"/>
      <c r="D71" s="525"/>
      <c r="E71" s="525"/>
      <c r="F71" s="525"/>
      <c r="G71" s="525"/>
      <c r="H71" s="525"/>
      <c r="I71" s="525"/>
      <c r="J71" s="525"/>
      <c r="K71" s="525"/>
      <c r="L71" s="525"/>
      <c r="M71" s="525"/>
      <c r="N71" s="525"/>
      <c r="O71" s="525"/>
      <c r="P71" s="525"/>
      <c r="Q71" s="525"/>
      <c r="R71" s="525"/>
      <c r="S71" s="525"/>
      <c r="T71" s="525"/>
      <c r="U71" s="525"/>
      <c r="V71" s="525"/>
      <c r="W71" s="525"/>
      <c r="X71" s="525"/>
      <c r="Y71" s="525"/>
      <c r="Z71" s="525"/>
      <c r="AA71" s="525"/>
      <c r="AB71" s="525"/>
      <c r="AC71" s="525"/>
      <c r="AD71" s="525"/>
      <c r="AE71" s="525"/>
      <c r="AF71" s="525"/>
      <c r="AG71" s="525"/>
      <c r="AH71" s="525"/>
      <c r="AI71" s="525"/>
      <c r="AJ71" s="526"/>
      <c r="AK71" s="11"/>
    </row>
    <row r="72" spans="1:37" s="2" customFormat="1" ht="13.5" thickBot="1" x14ac:dyDescent="0.25">
      <c r="A72" s="597"/>
      <c r="B72" s="600"/>
      <c r="C72" s="122" t="s">
        <v>4</v>
      </c>
      <c r="D72" s="91">
        <v>1</v>
      </c>
      <c r="E72" s="91" t="s">
        <v>5</v>
      </c>
      <c r="F72" s="91"/>
      <c r="G72" s="91" t="s">
        <v>6</v>
      </c>
      <c r="H72" s="91" t="s">
        <v>10</v>
      </c>
      <c r="I72" s="91">
        <v>45429</v>
      </c>
      <c r="J72" s="91" t="s">
        <v>59</v>
      </c>
      <c r="K72" s="91">
        <v>123456</v>
      </c>
      <c r="L72" s="88">
        <v>1</v>
      </c>
      <c r="M72" s="88">
        <v>1</v>
      </c>
      <c r="N72" s="88">
        <v>1</v>
      </c>
      <c r="O72" s="79">
        <v>39.950000000000003</v>
      </c>
      <c r="P72" s="185">
        <v>849205023465</v>
      </c>
      <c r="Q72" s="97" t="s">
        <v>116</v>
      </c>
      <c r="R72" s="80" t="s">
        <v>9</v>
      </c>
      <c r="S72" s="81" t="s">
        <v>13</v>
      </c>
      <c r="T72" s="88"/>
      <c r="U72" s="88"/>
      <c r="V72" s="89"/>
      <c r="W72" s="88"/>
      <c r="X72" s="89"/>
      <c r="Y72" s="82"/>
      <c r="Z72" s="88"/>
      <c r="AA72" s="89"/>
      <c r="AB72" s="81" t="s">
        <v>13</v>
      </c>
      <c r="AC72" s="81">
        <v>2</v>
      </c>
      <c r="AD72" s="96">
        <v>20</v>
      </c>
      <c r="AE72" s="78"/>
      <c r="AF72" s="78"/>
      <c r="AG72" s="82"/>
      <c r="AH72" s="79" t="s">
        <v>67</v>
      </c>
      <c r="AI72" s="88"/>
      <c r="AJ72" s="90"/>
      <c r="AK72" s="11"/>
    </row>
    <row r="73" spans="1:37" s="211" customFormat="1" ht="13.5" customHeight="1" thickBot="1" x14ac:dyDescent="0.3">
      <c r="A73" s="245"/>
      <c r="B73" s="246"/>
      <c r="C73" s="412"/>
      <c r="D73" s="247"/>
      <c r="E73" s="247"/>
      <c r="F73" s="247"/>
      <c r="G73" s="247"/>
      <c r="H73" s="247"/>
      <c r="I73" s="247"/>
      <c r="J73" s="247"/>
      <c r="K73" s="247"/>
      <c r="L73" s="247"/>
      <c r="M73" s="247"/>
      <c r="N73" s="247"/>
      <c r="O73" s="247"/>
      <c r="P73" s="248"/>
      <c r="Q73" s="249"/>
      <c r="R73" s="247"/>
      <c r="S73" s="247"/>
      <c r="T73" s="247"/>
      <c r="U73" s="247"/>
      <c r="V73" s="247"/>
      <c r="W73" s="248"/>
      <c r="X73" s="247"/>
      <c r="Y73" s="248"/>
      <c r="Z73" s="248"/>
      <c r="AA73" s="247"/>
      <c r="AB73" s="248"/>
      <c r="AC73" s="247"/>
      <c r="AD73" s="247"/>
      <c r="AE73" s="248"/>
      <c r="AF73" s="247"/>
      <c r="AG73" s="247"/>
      <c r="AH73" s="248"/>
      <c r="AI73" s="247"/>
      <c r="AJ73" s="413"/>
      <c r="AK73" s="404"/>
    </row>
    <row r="74" spans="1:37" s="2" customFormat="1" ht="12.75" x14ac:dyDescent="0.2">
      <c r="A74" s="595">
        <v>20</v>
      </c>
      <c r="B74" s="527" t="s">
        <v>107</v>
      </c>
      <c r="C74" s="98" t="s">
        <v>4</v>
      </c>
      <c r="D74" s="72">
        <v>1</v>
      </c>
      <c r="E74" s="72" t="s">
        <v>5</v>
      </c>
      <c r="F74" s="72"/>
      <c r="G74" s="72" t="s">
        <v>6</v>
      </c>
      <c r="H74" s="72" t="s">
        <v>10</v>
      </c>
      <c r="I74" s="72">
        <v>45429</v>
      </c>
      <c r="J74" s="72" t="s">
        <v>60</v>
      </c>
      <c r="K74" s="72">
        <v>123457</v>
      </c>
      <c r="L74" s="73">
        <v>1</v>
      </c>
      <c r="M74" s="73">
        <v>1</v>
      </c>
      <c r="N74" s="73">
        <v>1</v>
      </c>
      <c r="O74" s="74">
        <v>4.49</v>
      </c>
      <c r="P74" s="128">
        <v>849205017693</v>
      </c>
      <c r="Q74" s="72" t="s">
        <v>78</v>
      </c>
      <c r="R74" s="73" t="s">
        <v>79</v>
      </c>
      <c r="S74" s="73" t="s">
        <v>8</v>
      </c>
      <c r="T74" s="73"/>
      <c r="U74" s="73"/>
      <c r="V74" s="74"/>
      <c r="W74" s="73"/>
      <c r="X74" s="74"/>
      <c r="Y74" s="74"/>
      <c r="Z74" s="73"/>
      <c r="AA74" s="74"/>
      <c r="AB74" s="73"/>
      <c r="AC74" s="73"/>
      <c r="AD74" s="74"/>
      <c r="AE74" s="73"/>
      <c r="AF74" s="73" t="s">
        <v>119</v>
      </c>
      <c r="AG74" s="74">
        <v>0.25</v>
      </c>
      <c r="AH74" s="73"/>
      <c r="AI74" s="73"/>
      <c r="AJ74" s="75"/>
      <c r="AK74" s="11"/>
    </row>
    <row r="75" spans="1:37" s="7" customFormat="1" ht="15" x14ac:dyDescent="0.25">
      <c r="A75" s="596"/>
      <c r="B75" s="549"/>
      <c r="C75" s="99" t="s">
        <v>4</v>
      </c>
      <c r="D75" s="18">
        <v>1</v>
      </c>
      <c r="E75" s="18" t="s">
        <v>5</v>
      </c>
      <c r="F75" s="18"/>
      <c r="G75" s="18" t="s">
        <v>6</v>
      </c>
      <c r="H75" s="18" t="s">
        <v>10</v>
      </c>
      <c r="I75" s="18">
        <v>45429</v>
      </c>
      <c r="J75" s="18" t="s">
        <v>60</v>
      </c>
      <c r="K75" s="18">
        <v>123457</v>
      </c>
      <c r="L75" s="29">
        <v>1</v>
      </c>
      <c r="M75" s="29">
        <v>1</v>
      </c>
      <c r="N75" s="29">
        <v>1</v>
      </c>
      <c r="O75" s="30">
        <v>22.45</v>
      </c>
      <c r="P75" s="29" t="s">
        <v>85</v>
      </c>
      <c r="Q75" s="18" t="s">
        <v>78</v>
      </c>
      <c r="R75" s="29" t="s">
        <v>84</v>
      </c>
      <c r="S75" s="29" t="s">
        <v>8</v>
      </c>
      <c r="T75" s="29"/>
      <c r="U75" s="29"/>
      <c r="V75" s="30"/>
      <c r="W75" s="29"/>
      <c r="X75" s="30"/>
      <c r="Y75" s="30"/>
      <c r="Z75" s="29"/>
      <c r="AA75" s="30"/>
      <c r="AB75" s="29"/>
      <c r="AC75" s="29"/>
      <c r="AD75" s="30"/>
      <c r="AE75" s="29"/>
      <c r="AF75" s="29" t="s">
        <v>119</v>
      </c>
      <c r="AG75" s="30">
        <v>1.25</v>
      </c>
      <c r="AH75" s="29"/>
      <c r="AI75" s="29"/>
      <c r="AJ75" s="76"/>
      <c r="AK75" s="23"/>
    </row>
    <row r="76" spans="1:37" s="2" customFormat="1" ht="12.75" x14ac:dyDescent="0.2">
      <c r="A76" s="596"/>
      <c r="B76" s="549"/>
      <c r="C76" s="524"/>
      <c r="D76" s="525"/>
      <c r="E76" s="525"/>
      <c r="F76" s="525"/>
      <c r="G76" s="525"/>
      <c r="H76" s="525"/>
      <c r="I76" s="525"/>
      <c r="J76" s="525"/>
      <c r="K76" s="525"/>
      <c r="L76" s="525"/>
      <c r="M76" s="525"/>
      <c r="N76" s="525"/>
      <c r="O76" s="525"/>
      <c r="P76" s="525"/>
      <c r="Q76" s="525"/>
      <c r="R76" s="525"/>
      <c r="S76" s="525"/>
      <c r="T76" s="525"/>
      <c r="U76" s="525"/>
      <c r="V76" s="525"/>
      <c r="W76" s="525"/>
      <c r="X76" s="525"/>
      <c r="Y76" s="525"/>
      <c r="Z76" s="525"/>
      <c r="AA76" s="525"/>
      <c r="AB76" s="525"/>
      <c r="AC76" s="525"/>
      <c r="AD76" s="525"/>
      <c r="AE76" s="525"/>
      <c r="AF76" s="525"/>
      <c r="AG76" s="525"/>
      <c r="AH76" s="525"/>
      <c r="AI76" s="525"/>
      <c r="AJ76" s="526"/>
      <c r="AK76" s="11"/>
    </row>
    <row r="77" spans="1:37" s="7" customFormat="1" ht="18.600000000000001" customHeight="1" x14ac:dyDescent="0.25">
      <c r="A77" s="596"/>
      <c r="B77" s="549"/>
      <c r="C77" s="123" t="s">
        <v>4</v>
      </c>
      <c r="D77" s="14">
        <v>1</v>
      </c>
      <c r="E77" s="14" t="s">
        <v>5</v>
      </c>
      <c r="F77" s="14"/>
      <c r="G77" s="14" t="s">
        <v>6</v>
      </c>
      <c r="H77" s="14" t="s">
        <v>10</v>
      </c>
      <c r="I77" s="14">
        <v>45429</v>
      </c>
      <c r="J77" s="14" t="s">
        <v>59</v>
      </c>
      <c r="K77" s="14">
        <v>123456</v>
      </c>
      <c r="L77" s="389">
        <v>1</v>
      </c>
      <c r="M77" s="389">
        <v>1</v>
      </c>
      <c r="N77" s="389">
        <v>2</v>
      </c>
      <c r="O77" s="60">
        <v>3.99</v>
      </c>
      <c r="P77" s="186" t="s">
        <v>86</v>
      </c>
      <c r="Q77" s="17" t="s">
        <v>78</v>
      </c>
      <c r="R77" s="389" t="s">
        <v>79</v>
      </c>
      <c r="S77" s="25" t="s">
        <v>13</v>
      </c>
      <c r="T77" s="389"/>
      <c r="U77" s="389"/>
      <c r="V77" s="26"/>
      <c r="W77" s="389"/>
      <c r="X77" s="26"/>
      <c r="Y77" s="27"/>
      <c r="Z77" s="389"/>
      <c r="AA77" s="26"/>
      <c r="AB77" s="25" t="s">
        <v>13</v>
      </c>
      <c r="AC77" s="25">
        <v>2</v>
      </c>
      <c r="AD77" s="28">
        <v>0.5</v>
      </c>
      <c r="AE77" s="19"/>
      <c r="AF77" s="59" t="s">
        <v>119</v>
      </c>
      <c r="AG77" s="207">
        <v>0.25</v>
      </c>
      <c r="AH77" s="28" t="s">
        <v>67</v>
      </c>
      <c r="AI77" s="389"/>
      <c r="AJ77" s="390"/>
      <c r="AK77" s="23"/>
    </row>
    <row r="78" spans="1:37" s="2" customFormat="1" ht="12.75" x14ac:dyDescent="0.2">
      <c r="A78" s="596"/>
      <c r="B78" s="549"/>
      <c r="C78" s="524"/>
      <c r="D78" s="525"/>
      <c r="E78" s="525"/>
      <c r="F78" s="525"/>
      <c r="G78" s="525"/>
      <c r="H78" s="525"/>
      <c r="I78" s="525"/>
      <c r="J78" s="525"/>
      <c r="K78" s="525"/>
      <c r="L78" s="525"/>
      <c r="M78" s="525"/>
      <c r="N78" s="525"/>
      <c r="O78" s="525"/>
      <c r="P78" s="525"/>
      <c r="Q78" s="525"/>
      <c r="R78" s="525"/>
      <c r="S78" s="525"/>
      <c r="T78" s="525"/>
      <c r="U78" s="525"/>
      <c r="V78" s="525"/>
      <c r="W78" s="525"/>
      <c r="X78" s="525"/>
      <c r="Y78" s="525"/>
      <c r="Z78" s="525"/>
      <c r="AA78" s="525"/>
      <c r="AB78" s="525"/>
      <c r="AC78" s="525"/>
      <c r="AD78" s="525"/>
      <c r="AE78" s="525"/>
      <c r="AF78" s="525"/>
      <c r="AG78" s="525"/>
      <c r="AH78" s="525"/>
      <c r="AI78" s="525"/>
      <c r="AJ78" s="526"/>
      <c r="AK78" s="11"/>
    </row>
    <row r="79" spans="1:37" ht="14.65" customHeight="1" thickBot="1" x14ac:dyDescent="0.3">
      <c r="A79" s="597"/>
      <c r="B79" s="528"/>
      <c r="C79" s="122" t="s">
        <v>4</v>
      </c>
      <c r="D79" s="91">
        <v>1</v>
      </c>
      <c r="E79" s="91" t="s">
        <v>5</v>
      </c>
      <c r="F79" s="91"/>
      <c r="G79" s="91" t="s">
        <v>6</v>
      </c>
      <c r="H79" s="91" t="s">
        <v>10</v>
      </c>
      <c r="I79" s="91">
        <v>45429</v>
      </c>
      <c r="J79" s="91" t="s">
        <v>59</v>
      </c>
      <c r="K79" s="91">
        <v>123456</v>
      </c>
      <c r="L79" s="88">
        <v>1</v>
      </c>
      <c r="M79" s="88">
        <v>1</v>
      </c>
      <c r="N79" s="88">
        <v>1</v>
      </c>
      <c r="O79" s="79">
        <v>19.95</v>
      </c>
      <c r="P79" s="187" t="s">
        <v>85</v>
      </c>
      <c r="Q79" s="95" t="s">
        <v>78</v>
      </c>
      <c r="R79" s="80" t="s">
        <v>84</v>
      </c>
      <c r="S79" s="81" t="s">
        <v>13</v>
      </c>
      <c r="T79" s="88"/>
      <c r="U79" s="88"/>
      <c r="V79" s="89"/>
      <c r="W79" s="88"/>
      <c r="X79" s="89"/>
      <c r="Y79" s="82"/>
      <c r="Z79" s="88"/>
      <c r="AA79" s="89"/>
      <c r="AB79" s="81" t="s">
        <v>13</v>
      </c>
      <c r="AC79" s="81">
        <v>2</v>
      </c>
      <c r="AD79" s="96">
        <v>2.5</v>
      </c>
      <c r="AE79" s="78"/>
      <c r="AF79" s="83" t="s">
        <v>119</v>
      </c>
      <c r="AG79" s="208">
        <v>1.25</v>
      </c>
      <c r="AH79" s="79" t="s">
        <v>67</v>
      </c>
      <c r="AI79" s="88"/>
      <c r="AJ79" s="90"/>
    </row>
    <row r="80" spans="1:37" s="211" customFormat="1" ht="13.5" customHeight="1" thickBot="1" x14ac:dyDescent="0.3">
      <c r="A80" s="245"/>
      <c r="B80" s="246"/>
      <c r="C80" s="412"/>
      <c r="D80" s="247"/>
      <c r="E80" s="247"/>
      <c r="F80" s="247"/>
      <c r="G80" s="247"/>
      <c r="H80" s="247"/>
      <c r="I80" s="247"/>
      <c r="J80" s="247"/>
      <c r="K80" s="247"/>
      <c r="L80" s="247"/>
      <c r="M80" s="247"/>
      <c r="N80" s="247"/>
      <c r="O80" s="247"/>
      <c r="P80" s="248"/>
      <c r="Q80" s="249"/>
      <c r="R80" s="247"/>
      <c r="S80" s="247"/>
      <c r="T80" s="247"/>
      <c r="U80" s="247"/>
      <c r="V80" s="247"/>
      <c r="W80" s="248"/>
      <c r="X80" s="247"/>
      <c r="Y80" s="248"/>
      <c r="Z80" s="248"/>
      <c r="AA80" s="247"/>
      <c r="AB80" s="248"/>
      <c r="AC80" s="247"/>
      <c r="AD80" s="247"/>
      <c r="AE80" s="248"/>
      <c r="AF80" s="247"/>
      <c r="AG80" s="247"/>
      <c r="AH80" s="248"/>
      <c r="AI80" s="247"/>
      <c r="AJ80" s="413"/>
      <c r="AK80" s="404"/>
    </row>
    <row r="81" spans="1:37" ht="15" customHeight="1" x14ac:dyDescent="0.25">
      <c r="A81" s="566">
        <v>21</v>
      </c>
      <c r="B81" s="589" t="s">
        <v>108</v>
      </c>
      <c r="C81" s="98" t="s">
        <v>4</v>
      </c>
      <c r="D81" s="72">
        <v>1</v>
      </c>
      <c r="E81" s="72" t="s">
        <v>5</v>
      </c>
      <c r="F81" s="72"/>
      <c r="G81" s="72" t="s">
        <v>6</v>
      </c>
      <c r="H81" s="72" t="s">
        <v>10</v>
      </c>
      <c r="I81" s="72">
        <v>45429</v>
      </c>
      <c r="J81" s="72" t="s">
        <v>60</v>
      </c>
      <c r="K81" s="72">
        <v>123457</v>
      </c>
      <c r="L81" s="73">
        <v>1</v>
      </c>
      <c r="M81" s="73">
        <v>1</v>
      </c>
      <c r="N81" s="73">
        <v>1</v>
      </c>
      <c r="O81" s="74">
        <v>3</v>
      </c>
      <c r="P81" s="73">
        <v>73100000553</v>
      </c>
      <c r="Q81" s="72" t="s">
        <v>76</v>
      </c>
      <c r="R81" s="73" t="s">
        <v>73</v>
      </c>
      <c r="S81" s="73" t="s">
        <v>8</v>
      </c>
      <c r="T81" s="73"/>
      <c r="U81" s="73"/>
      <c r="V81" s="74"/>
      <c r="W81" s="73"/>
      <c r="X81" s="74"/>
      <c r="Y81" s="74"/>
      <c r="Z81" s="73"/>
      <c r="AA81" s="74"/>
      <c r="AB81" s="73"/>
      <c r="AC81" s="73"/>
      <c r="AD81" s="74"/>
      <c r="AE81" s="73"/>
      <c r="AF81" s="73" t="s">
        <v>128</v>
      </c>
      <c r="AG81" s="74">
        <v>0.5</v>
      </c>
      <c r="AH81" s="73"/>
      <c r="AI81" s="73"/>
      <c r="AJ81" s="75"/>
    </row>
    <row r="82" spans="1:37" ht="15" x14ac:dyDescent="0.25">
      <c r="A82" s="567"/>
      <c r="B82" s="590"/>
      <c r="C82" s="99" t="s">
        <v>4</v>
      </c>
      <c r="D82" s="18">
        <v>1</v>
      </c>
      <c r="E82" s="18" t="s">
        <v>5</v>
      </c>
      <c r="F82" s="18"/>
      <c r="G82" s="18" t="s">
        <v>6</v>
      </c>
      <c r="H82" s="18" t="s">
        <v>10</v>
      </c>
      <c r="I82" s="18">
        <v>45429</v>
      </c>
      <c r="J82" s="18" t="s">
        <v>60</v>
      </c>
      <c r="K82" s="18">
        <v>123457</v>
      </c>
      <c r="L82" s="29">
        <v>1</v>
      </c>
      <c r="M82" s="29">
        <v>1</v>
      </c>
      <c r="N82" s="29">
        <v>1</v>
      </c>
      <c r="O82" s="30">
        <v>15</v>
      </c>
      <c r="P82" s="29">
        <v>73100000554</v>
      </c>
      <c r="Q82" s="18" t="s">
        <v>76</v>
      </c>
      <c r="R82" s="29" t="s">
        <v>72</v>
      </c>
      <c r="S82" s="29" t="s">
        <v>8</v>
      </c>
      <c r="T82" s="29"/>
      <c r="U82" s="29"/>
      <c r="V82" s="30"/>
      <c r="W82" s="29"/>
      <c r="X82" s="30"/>
      <c r="Y82" s="30"/>
      <c r="Z82" s="29"/>
      <c r="AA82" s="30"/>
      <c r="AB82" s="29"/>
      <c r="AC82" s="29"/>
      <c r="AD82" s="30"/>
      <c r="AE82" s="29"/>
      <c r="AF82" s="29" t="s">
        <v>128</v>
      </c>
      <c r="AG82" s="30">
        <v>2.5</v>
      </c>
      <c r="AH82" s="29"/>
      <c r="AI82" s="29"/>
      <c r="AJ82" s="76"/>
    </row>
    <row r="83" spans="1:37" s="2" customFormat="1" ht="12.75" x14ac:dyDescent="0.2">
      <c r="A83" s="567"/>
      <c r="B83" s="590"/>
      <c r="C83" s="524"/>
      <c r="D83" s="525"/>
      <c r="E83" s="525"/>
      <c r="F83" s="525"/>
      <c r="G83" s="525"/>
      <c r="H83" s="525"/>
      <c r="I83" s="525"/>
      <c r="J83" s="525"/>
      <c r="K83" s="525"/>
      <c r="L83" s="525"/>
      <c r="M83" s="525"/>
      <c r="N83" s="525"/>
      <c r="O83" s="525"/>
      <c r="P83" s="525"/>
      <c r="Q83" s="525"/>
      <c r="R83" s="525"/>
      <c r="S83" s="525"/>
      <c r="T83" s="525"/>
      <c r="U83" s="525"/>
      <c r="V83" s="525"/>
      <c r="W83" s="525"/>
      <c r="X83" s="525"/>
      <c r="Y83" s="525"/>
      <c r="Z83" s="525"/>
      <c r="AA83" s="525"/>
      <c r="AB83" s="525"/>
      <c r="AC83" s="525"/>
      <c r="AD83" s="525"/>
      <c r="AE83" s="525"/>
      <c r="AF83" s="525"/>
      <c r="AG83" s="525"/>
      <c r="AH83" s="525"/>
      <c r="AI83" s="525"/>
      <c r="AJ83" s="526"/>
      <c r="AK83" s="11"/>
    </row>
    <row r="84" spans="1:37" ht="15" x14ac:dyDescent="0.25">
      <c r="A84" s="567"/>
      <c r="B84" s="590"/>
      <c r="C84" s="123" t="s">
        <v>4</v>
      </c>
      <c r="D84" s="14">
        <v>1</v>
      </c>
      <c r="E84" s="14" t="s">
        <v>5</v>
      </c>
      <c r="F84" s="14"/>
      <c r="G84" s="14" t="s">
        <v>6</v>
      </c>
      <c r="H84" s="14" t="s">
        <v>10</v>
      </c>
      <c r="I84" s="14">
        <v>45429</v>
      </c>
      <c r="J84" s="14" t="s">
        <v>59</v>
      </c>
      <c r="K84" s="14">
        <v>123456</v>
      </c>
      <c r="L84" s="389">
        <v>1</v>
      </c>
      <c r="M84" s="389">
        <v>1</v>
      </c>
      <c r="N84" s="389">
        <v>2</v>
      </c>
      <c r="O84" s="28">
        <v>2.75</v>
      </c>
      <c r="P84" s="389">
        <v>73100000553</v>
      </c>
      <c r="Q84" s="14" t="s">
        <v>76</v>
      </c>
      <c r="R84" s="389" t="s">
        <v>73</v>
      </c>
      <c r="S84" s="25" t="s">
        <v>13</v>
      </c>
      <c r="T84" s="19"/>
      <c r="U84" s="19"/>
      <c r="V84" s="27"/>
      <c r="W84" s="389"/>
      <c r="X84" s="26"/>
      <c r="Y84" s="27"/>
      <c r="Z84" s="389"/>
      <c r="AA84" s="26"/>
      <c r="AB84" s="25" t="s">
        <v>13</v>
      </c>
      <c r="AC84" s="25">
        <v>2</v>
      </c>
      <c r="AD84" s="28">
        <v>0.25</v>
      </c>
      <c r="AE84" s="19"/>
      <c r="AF84" s="59" t="s">
        <v>128</v>
      </c>
      <c r="AG84" s="207">
        <v>0.5</v>
      </c>
      <c r="AH84" s="25" t="s">
        <v>77</v>
      </c>
      <c r="AI84" s="389"/>
      <c r="AJ84" s="390"/>
    </row>
    <row r="85" spans="1:37" s="2" customFormat="1" ht="12.75" x14ac:dyDescent="0.2">
      <c r="A85" s="567"/>
      <c r="B85" s="590"/>
      <c r="C85" s="524"/>
      <c r="D85" s="525"/>
      <c r="E85" s="525"/>
      <c r="F85" s="525"/>
      <c r="G85" s="525"/>
      <c r="H85" s="525"/>
      <c r="I85" s="525"/>
      <c r="J85" s="525"/>
      <c r="K85" s="525"/>
      <c r="L85" s="525"/>
      <c r="M85" s="525"/>
      <c r="N85" s="525"/>
      <c r="O85" s="525"/>
      <c r="P85" s="525"/>
      <c r="Q85" s="525"/>
      <c r="R85" s="525"/>
      <c r="S85" s="525"/>
      <c r="T85" s="525"/>
      <c r="U85" s="525"/>
      <c r="V85" s="525"/>
      <c r="W85" s="525"/>
      <c r="X85" s="525"/>
      <c r="Y85" s="525"/>
      <c r="Z85" s="525"/>
      <c r="AA85" s="525"/>
      <c r="AB85" s="525"/>
      <c r="AC85" s="525"/>
      <c r="AD85" s="525"/>
      <c r="AE85" s="525"/>
      <c r="AF85" s="525"/>
      <c r="AG85" s="525"/>
      <c r="AH85" s="525"/>
      <c r="AI85" s="525"/>
      <c r="AJ85" s="526"/>
      <c r="AK85" s="11"/>
    </row>
    <row r="86" spans="1:37" ht="15.75" thickBot="1" x14ac:dyDescent="0.3">
      <c r="A86" s="568"/>
      <c r="B86" s="591"/>
      <c r="C86" s="122" t="s">
        <v>4</v>
      </c>
      <c r="D86" s="91">
        <v>1</v>
      </c>
      <c r="E86" s="91" t="s">
        <v>5</v>
      </c>
      <c r="F86" s="91"/>
      <c r="G86" s="91" t="s">
        <v>6</v>
      </c>
      <c r="H86" s="91" t="s">
        <v>10</v>
      </c>
      <c r="I86" s="91">
        <v>45429</v>
      </c>
      <c r="J86" s="91" t="s">
        <v>59</v>
      </c>
      <c r="K86" s="91">
        <v>123456</v>
      </c>
      <c r="L86" s="88">
        <v>1</v>
      </c>
      <c r="M86" s="88">
        <v>1</v>
      </c>
      <c r="N86" s="88">
        <v>1</v>
      </c>
      <c r="O86" s="79">
        <v>13.75</v>
      </c>
      <c r="P86" s="182">
        <v>73100000554</v>
      </c>
      <c r="Q86" s="95" t="s">
        <v>76</v>
      </c>
      <c r="R86" s="80" t="s">
        <v>72</v>
      </c>
      <c r="S86" s="81" t="s">
        <v>13</v>
      </c>
      <c r="T86" s="78"/>
      <c r="U86" s="78"/>
      <c r="V86" s="82"/>
      <c r="W86" s="88"/>
      <c r="X86" s="89"/>
      <c r="Y86" s="82"/>
      <c r="Z86" s="88"/>
      <c r="AA86" s="89"/>
      <c r="AB86" s="81" t="s">
        <v>13</v>
      </c>
      <c r="AC86" s="81">
        <v>2</v>
      </c>
      <c r="AD86" s="96">
        <v>1.25</v>
      </c>
      <c r="AE86" s="78"/>
      <c r="AF86" s="83" t="s">
        <v>128</v>
      </c>
      <c r="AG86" s="208">
        <v>2.5</v>
      </c>
      <c r="AH86" s="81" t="s">
        <v>77</v>
      </c>
      <c r="AI86" s="88"/>
      <c r="AJ86" s="90"/>
    </row>
    <row r="87" spans="1:37" s="211" customFormat="1" ht="13.5" customHeight="1" thickBot="1" x14ac:dyDescent="0.3">
      <c r="A87" s="245"/>
      <c r="B87" s="246"/>
      <c r="C87" s="412"/>
      <c r="D87" s="247"/>
      <c r="E87" s="247"/>
      <c r="F87" s="247"/>
      <c r="G87" s="247"/>
      <c r="H87" s="247"/>
      <c r="I87" s="247"/>
      <c r="J87" s="247"/>
      <c r="K87" s="247"/>
      <c r="L87" s="247"/>
      <c r="M87" s="247"/>
      <c r="N87" s="247"/>
      <c r="O87" s="247"/>
      <c r="P87" s="248"/>
      <c r="Q87" s="249"/>
      <c r="R87" s="247"/>
      <c r="S87" s="247"/>
      <c r="T87" s="247"/>
      <c r="U87" s="247"/>
      <c r="V87" s="247"/>
      <c r="W87" s="248"/>
      <c r="X87" s="247"/>
      <c r="Y87" s="248"/>
      <c r="Z87" s="248"/>
      <c r="AA87" s="247"/>
      <c r="AB87" s="248"/>
      <c r="AC87" s="247"/>
      <c r="AD87" s="247"/>
      <c r="AE87" s="248"/>
      <c r="AF87" s="247"/>
      <c r="AG87" s="247"/>
      <c r="AH87" s="248"/>
      <c r="AI87" s="247"/>
      <c r="AJ87" s="413"/>
      <c r="AK87" s="404"/>
    </row>
    <row r="88" spans="1:37" ht="15" x14ac:dyDescent="0.25">
      <c r="A88" s="566">
        <v>22</v>
      </c>
      <c r="B88" s="527" t="s">
        <v>99</v>
      </c>
      <c r="C88" s="98" t="s">
        <v>4</v>
      </c>
      <c r="D88" s="72">
        <v>1</v>
      </c>
      <c r="E88" s="72" t="s">
        <v>5</v>
      </c>
      <c r="F88" s="72"/>
      <c r="G88" s="72" t="s">
        <v>6</v>
      </c>
      <c r="H88" s="72" t="s">
        <v>10</v>
      </c>
      <c r="I88" s="72">
        <v>45429</v>
      </c>
      <c r="J88" s="72" t="s">
        <v>60</v>
      </c>
      <c r="K88" s="72">
        <v>123457</v>
      </c>
      <c r="L88" s="73">
        <v>1</v>
      </c>
      <c r="M88" s="73">
        <v>1</v>
      </c>
      <c r="N88" s="73">
        <v>1</v>
      </c>
      <c r="O88" s="74">
        <v>5.7</v>
      </c>
      <c r="P88" s="73">
        <v>28200003577</v>
      </c>
      <c r="Q88" s="72" t="s">
        <v>74</v>
      </c>
      <c r="R88" s="73" t="s">
        <v>7</v>
      </c>
      <c r="S88" s="73" t="s">
        <v>8</v>
      </c>
      <c r="T88" s="73"/>
      <c r="U88" s="73"/>
      <c r="V88" s="74"/>
      <c r="W88" s="73"/>
      <c r="X88" s="74"/>
      <c r="Y88" s="74"/>
      <c r="Z88" s="73"/>
      <c r="AA88" s="74"/>
      <c r="AB88" s="73"/>
      <c r="AC88" s="73"/>
      <c r="AD88" s="74"/>
      <c r="AE88" s="73"/>
      <c r="AF88" s="73" t="s">
        <v>129</v>
      </c>
      <c r="AG88" s="74">
        <v>0.25</v>
      </c>
      <c r="AH88" s="73"/>
      <c r="AI88" s="73"/>
      <c r="AJ88" s="75"/>
    </row>
    <row r="89" spans="1:37" ht="14.25" customHeight="1" x14ac:dyDescent="0.25">
      <c r="A89" s="567"/>
      <c r="B89" s="549"/>
      <c r="C89" s="99" t="s">
        <v>4</v>
      </c>
      <c r="D89" s="18">
        <v>1</v>
      </c>
      <c r="E89" s="18" t="s">
        <v>5</v>
      </c>
      <c r="F89" s="18"/>
      <c r="G89" s="18" t="s">
        <v>6</v>
      </c>
      <c r="H89" s="18" t="s">
        <v>10</v>
      </c>
      <c r="I89" s="18">
        <v>45429</v>
      </c>
      <c r="J89" s="18" t="s">
        <v>60</v>
      </c>
      <c r="K89" s="18">
        <v>123457</v>
      </c>
      <c r="L89" s="29">
        <v>1</v>
      </c>
      <c r="M89" s="29">
        <v>1</v>
      </c>
      <c r="N89" s="29">
        <v>1</v>
      </c>
      <c r="O89" s="30">
        <v>57</v>
      </c>
      <c r="P89" s="29">
        <v>28200003578</v>
      </c>
      <c r="Q89" s="18" t="s">
        <v>74</v>
      </c>
      <c r="R89" s="29" t="s">
        <v>9</v>
      </c>
      <c r="S89" s="29" t="s">
        <v>8</v>
      </c>
      <c r="T89" s="29"/>
      <c r="U89" s="29"/>
      <c r="V89" s="30"/>
      <c r="W89" s="29"/>
      <c r="X89" s="30"/>
      <c r="Y89" s="30"/>
      <c r="Z89" s="29"/>
      <c r="AA89" s="30"/>
      <c r="AB89" s="29"/>
      <c r="AC89" s="29"/>
      <c r="AD89" s="30"/>
      <c r="AE89" s="29"/>
      <c r="AF89" s="29" t="s">
        <v>129</v>
      </c>
      <c r="AG89" s="30">
        <v>2.5</v>
      </c>
      <c r="AH89" s="29"/>
      <c r="AI89" s="29"/>
      <c r="AJ89" s="76"/>
    </row>
    <row r="90" spans="1:37" s="2" customFormat="1" ht="12.75" x14ac:dyDescent="0.2">
      <c r="A90" s="567"/>
      <c r="B90" s="549"/>
      <c r="C90" s="524"/>
      <c r="D90" s="525"/>
      <c r="E90" s="525"/>
      <c r="F90" s="525"/>
      <c r="G90" s="525"/>
      <c r="H90" s="525"/>
      <c r="I90" s="525"/>
      <c r="J90" s="525"/>
      <c r="K90" s="525"/>
      <c r="L90" s="525"/>
      <c r="M90" s="525"/>
      <c r="N90" s="525"/>
      <c r="O90" s="525"/>
      <c r="P90" s="525"/>
      <c r="Q90" s="525"/>
      <c r="R90" s="525"/>
      <c r="S90" s="525"/>
      <c r="T90" s="525"/>
      <c r="U90" s="525"/>
      <c r="V90" s="525"/>
      <c r="W90" s="525"/>
      <c r="X90" s="525"/>
      <c r="Y90" s="525"/>
      <c r="Z90" s="525"/>
      <c r="AA90" s="525"/>
      <c r="AB90" s="525"/>
      <c r="AC90" s="525"/>
      <c r="AD90" s="525"/>
      <c r="AE90" s="525"/>
      <c r="AF90" s="525"/>
      <c r="AG90" s="525"/>
      <c r="AH90" s="525"/>
      <c r="AI90" s="525"/>
      <c r="AJ90" s="526"/>
      <c r="AK90" s="11"/>
    </row>
    <row r="91" spans="1:37" ht="15" x14ac:dyDescent="0.25">
      <c r="A91" s="567"/>
      <c r="B91" s="549"/>
      <c r="C91" s="123" t="s">
        <v>4</v>
      </c>
      <c r="D91" s="14">
        <v>1</v>
      </c>
      <c r="E91" s="14" t="s">
        <v>5</v>
      </c>
      <c r="F91" s="14"/>
      <c r="G91" s="14" t="s">
        <v>6</v>
      </c>
      <c r="H91" s="14" t="s">
        <v>10</v>
      </c>
      <c r="I91" s="14">
        <v>45429</v>
      </c>
      <c r="J91" s="14" t="s">
        <v>59</v>
      </c>
      <c r="K91" s="14">
        <v>123456</v>
      </c>
      <c r="L91" s="389">
        <v>1</v>
      </c>
      <c r="M91" s="389">
        <v>1</v>
      </c>
      <c r="N91" s="389">
        <v>2</v>
      </c>
      <c r="O91" s="28">
        <v>5.45</v>
      </c>
      <c r="P91" s="389">
        <v>28200003577</v>
      </c>
      <c r="Q91" s="14" t="s">
        <v>74</v>
      </c>
      <c r="R91" s="389" t="s">
        <v>7</v>
      </c>
      <c r="S91" s="25" t="s">
        <v>13</v>
      </c>
      <c r="T91" s="389"/>
      <c r="U91" s="389"/>
      <c r="V91" s="26"/>
      <c r="W91" s="389"/>
      <c r="X91" s="26"/>
      <c r="Y91" s="27"/>
      <c r="Z91" s="389"/>
      <c r="AA91" s="26"/>
      <c r="AB91" s="25" t="s">
        <v>13</v>
      </c>
      <c r="AC91" s="25">
        <v>2</v>
      </c>
      <c r="AD91" s="28">
        <v>0.25</v>
      </c>
      <c r="AE91" s="19"/>
      <c r="AF91" s="59" t="s">
        <v>129</v>
      </c>
      <c r="AG91" s="207">
        <v>0.25</v>
      </c>
      <c r="AH91" s="25" t="s">
        <v>75</v>
      </c>
      <c r="AI91" s="389"/>
      <c r="AJ91" s="390"/>
    </row>
    <row r="92" spans="1:37" s="2" customFormat="1" ht="12.75" x14ac:dyDescent="0.2">
      <c r="A92" s="567"/>
      <c r="B92" s="549"/>
      <c r="C92" s="524"/>
      <c r="D92" s="525"/>
      <c r="E92" s="525"/>
      <c r="F92" s="525"/>
      <c r="G92" s="525"/>
      <c r="H92" s="525"/>
      <c r="I92" s="525"/>
      <c r="J92" s="525"/>
      <c r="K92" s="525"/>
      <c r="L92" s="525"/>
      <c r="M92" s="525"/>
      <c r="N92" s="525"/>
      <c r="O92" s="525"/>
      <c r="P92" s="525"/>
      <c r="Q92" s="525"/>
      <c r="R92" s="525"/>
      <c r="S92" s="525"/>
      <c r="T92" s="525"/>
      <c r="U92" s="525"/>
      <c r="V92" s="525"/>
      <c r="W92" s="525"/>
      <c r="X92" s="525"/>
      <c r="Y92" s="525"/>
      <c r="Z92" s="525"/>
      <c r="AA92" s="525"/>
      <c r="AB92" s="525"/>
      <c r="AC92" s="525"/>
      <c r="AD92" s="525"/>
      <c r="AE92" s="525"/>
      <c r="AF92" s="525"/>
      <c r="AG92" s="525"/>
      <c r="AH92" s="525"/>
      <c r="AI92" s="525"/>
      <c r="AJ92" s="526"/>
      <c r="AK92" s="11"/>
    </row>
    <row r="93" spans="1:37" ht="15.75" thickBot="1" x14ac:dyDescent="0.3">
      <c r="A93" s="568"/>
      <c r="B93" s="528"/>
      <c r="C93" s="122" t="s">
        <v>4</v>
      </c>
      <c r="D93" s="91">
        <v>1</v>
      </c>
      <c r="E93" s="91" t="s">
        <v>5</v>
      </c>
      <c r="F93" s="91"/>
      <c r="G93" s="91" t="s">
        <v>6</v>
      </c>
      <c r="H93" s="91" t="s">
        <v>10</v>
      </c>
      <c r="I93" s="91">
        <v>45429</v>
      </c>
      <c r="J93" s="91" t="s">
        <v>59</v>
      </c>
      <c r="K93" s="91">
        <v>123456</v>
      </c>
      <c r="L93" s="88">
        <v>1</v>
      </c>
      <c r="M93" s="88">
        <v>1</v>
      </c>
      <c r="N93" s="88">
        <v>1</v>
      </c>
      <c r="O93" s="79">
        <v>54.5</v>
      </c>
      <c r="P93" s="182">
        <v>28200003578</v>
      </c>
      <c r="Q93" s="95" t="s">
        <v>74</v>
      </c>
      <c r="R93" s="80" t="s">
        <v>9</v>
      </c>
      <c r="S93" s="81" t="s">
        <v>13</v>
      </c>
      <c r="T93" s="88"/>
      <c r="U93" s="88"/>
      <c r="V93" s="89"/>
      <c r="W93" s="88"/>
      <c r="X93" s="89"/>
      <c r="Y93" s="82"/>
      <c r="Z93" s="88"/>
      <c r="AA93" s="89"/>
      <c r="AB93" s="81" t="s">
        <v>13</v>
      </c>
      <c r="AC93" s="81">
        <v>2</v>
      </c>
      <c r="AD93" s="96">
        <v>2.5</v>
      </c>
      <c r="AE93" s="78"/>
      <c r="AF93" s="83" t="s">
        <v>129</v>
      </c>
      <c r="AG93" s="208">
        <v>2.5</v>
      </c>
      <c r="AH93" s="81" t="s">
        <v>75</v>
      </c>
      <c r="AI93" s="88"/>
      <c r="AJ93" s="90"/>
    </row>
    <row r="94" spans="1:37" s="211" customFormat="1" ht="13.5" customHeight="1" thickBot="1" x14ac:dyDescent="0.3">
      <c r="A94" s="245"/>
      <c r="B94" s="246"/>
      <c r="C94" s="412"/>
      <c r="D94" s="247"/>
      <c r="E94" s="247"/>
      <c r="F94" s="247"/>
      <c r="G94" s="247"/>
      <c r="H94" s="247"/>
      <c r="I94" s="247"/>
      <c r="J94" s="247"/>
      <c r="K94" s="247"/>
      <c r="L94" s="247"/>
      <c r="M94" s="247"/>
      <c r="N94" s="247"/>
      <c r="O94" s="247"/>
      <c r="P94" s="248"/>
      <c r="Q94" s="249"/>
      <c r="R94" s="247"/>
      <c r="S94" s="247"/>
      <c r="T94" s="247"/>
      <c r="U94" s="247"/>
      <c r="V94" s="247"/>
      <c r="W94" s="248"/>
      <c r="X94" s="247"/>
      <c r="Y94" s="248"/>
      <c r="Z94" s="248"/>
      <c r="AA94" s="247"/>
      <c r="AB94" s="248"/>
      <c r="AC94" s="247"/>
      <c r="AD94" s="247"/>
      <c r="AE94" s="248"/>
      <c r="AF94" s="247"/>
      <c r="AG94" s="247"/>
      <c r="AH94" s="248"/>
      <c r="AI94" s="247"/>
      <c r="AJ94" s="413"/>
      <c r="AK94" s="404"/>
    </row>
    <row r="95" spans="1:37" s="2" customFormat="1" ht="14.65" customHeight="1" thickBot="1" x14ac:dyDescent="0.25">
      <c r="A95" s="603" t="s">
        <v>68</v>
      </c>
      <c r="B95" s="604"/>
      <c r="C95" s="107"/>
      <c r="D95" s="108"/>
      <c r="E95" s="108"/>
      <c r="F95" s="108"/>
      <c r="G95" s="108"/>
      <c r="H95" s="108"/>
      <c r="I95" s="108"/>
      <c r="J95" s="108"/>
      <c r="K95" s="108"/>
      <c r="L95" s="104"/>
      <c r="M95" s="104"/>
      <c r="N95" s="104"/>
      <c r="O95" s="105"/>
      <c r="P95" s="104"/>
      <c r="Q95" s="108"/>
      <c r="R95" s="104"/>
      <c r="S95" s="104"/>
      <c r="T95" s="104"/>
      <c r="U95" s="104"/>
      <c r="V95" s="105"/>
      <c r="W95" s="104"/>
      <c r="X95" s="105"/>
      <c r="Y95" s="105"/>
      <c r="Z95" s="104"/>
      <c r="AA95" s="105"/>
      <c r="AB95" s="104"/>
      <c r="AC95" s="104"/>
      <c r="AD95" s="105"/>
      <c r="AE95" s="104"/>
      <c r="AF95" s="104"/>
      <c r="AG95" s="105"/>
      <c r="AH95" s="104"/>
      <c r="AI95" s="104"/>
      <c r="AJ95" s="106"/>
      <c r="AK95" s="11"/>
    </row>
    <row r="96" spans="1:37" s="2" customFormat="1" ht="15.6" customHeight="1" x14ac:dyDescent="0.2">
      <c r="A96" s="605"/>
      <c r="B96" s="606"/>
      <c r="C96" s="98" t="s">
        <v>4</v>
      </c>
      <c r="D96" s="72">
        <v>1</v>
      </c>
      <c r="E96" s="72" t="s">
        <v>5</v>
      </c>
      <c r="F96" s="72"/>
      <c r="G96" s="72" t="s">
        <v>6</v>
      </c>
      <c r="H96" s="72" t="s">
        <v>10</v>
      </c>
      <c r="I96" s="72">
        <v>45429</v>
      </c>
      <c r="J96" s="72" t="s">
        <v>59</v>
      </c>
      <c r="K96" s="72">
        <v>123456</v>
      </c>
      <c r="L96" s="73">
        <v>1</v>
      </c>
      <c r="M96" s="73">
        <v>1</v>
      </c>
      <c r="N96" s="73">
        <v>1</v>
      </c>
      <c r="O96" s="74">
        <v>5.7</v>
      </c>
      <c r="P96" s="73">
        <v>1230020608</v>
      </c>
      <c r="Q96" s="72" t="s">
        <v>11</v>
      </c>
      <c r="R96" s="73" t="s">
        <v>7</v>
      </c>
      <c r="S96" s="73" t="s">
        <v>8</v>
      </c>
      <c r="T96" s="73"/>
      <c r="U96" s="73"/>
      <c r="V96" s="74"/>
      <c r="W96" s="73"/>
      <c r="X96" s="74"/>
      <c r="Y96" s="74"/>
      <c r="Z96" s="73"/>
      <c r="AA96" s="74"/>
      <c r="AB96" s="73"/>
      <c r="AC96" s="73"/>
      <c r="AD96" s="74"/>
      <c r="AE96" s="73"/>
      <c r="AF96" s="73" t="s">
        <v>119</v>
      </c>
      <c r="AG96" s="74">
        <v>0.5</v>
      </c>
      <c r="AH96" s="73"/>
      <c r="AI96" s="73"/>
      <c r="AJ96" s="75"/>
      <c r="AK96" s="11"/>
    </row>
    <row r="97" spans="1:37" ht="15" x14ac:dyDescent="0.25">
      <c r="A97" s="605"/>
      <c r="B97" s="606"/>
      <c r="C97" s="99" t="s">
        <v>4</v>
      </c>
      <c r="D97" s="18">
        <v>1</v>
      </c>
      <c r="E97" s="18" t="s">
        <v>5</v>
      </c>
      <c r="F97" s="18"/>
      <c r="G97" s="18" t="s">
        <v>6</v>
      </c>
      <c r="H97" s="18" t="s">
        <v>10</v>
      </c>
      <c r="I97" s="18">
        <v>45429</v>
      </c>
      <c r="J97" s="18" t="s">
        <v>60</v>
      </c>
      <c r="K97" s="18">
        <v>123457</v>
      </c>
      <c r="L97" s="29">
        <v>1</v>
      </c>
      <c r="M97" s="29">
        <v>1</v>
      </c>
      <c r="N97" s="29">
        <v>1</v>
      </c>
      <c r="O97" s="30">
        <v>6.5</v>
      </c>
      <c r="P97" s="29">
        <v>26100005738</v>
      </c>
      <c r="Q97" s="18" t="s">
        <v>15</v>
      </c>
      <c r="R97" s="29" t="s">
        <v>7</v>
      </c>
      <c r="S97" s="29" t="s">
        <v>8</v>
      </c>
      <c r="T97" s="29"/>
      <c r="U97" s="29"/>
      <c r="V97" s="30"/>
      <c r="W97" s="29"/>
      <c r="X97" s="30"/>
      <c r="Y97" s="30"/>
      <c r="Z97" s="29"/>
      <c r="AA97" s="30"/>
      <c r="AB97" s="29"/>
      <c r="AC97" s="29"/>
      <c r="AD97" s="30"/>
      <c r="AE97" s="29"/>
      <c r="AF97" s="29" t="s">
        <v>119</v>
      </c>
      <c r="AG97" s="30">
        <v>0.25</v>
      </c>
      <c r="AH97" s="29"/>
      <c r="AI97" s="29"/>
      <c r="AJ97" s="76"/>
    </row>
    <row r="98" spans="1:37" ht="15.6" customHeight="1" x14ac:dyDescent="0.25">
      <c r="A98" s="605"/>
      <c r="B98" s="606"/>
      <c r="C98" s="99" t="s">
        <v>4</v>
      </c>
      <c r="D98" s="18">
        <v>1</v>
      </c>
      <c r="E98" s="18" t="s">
        <v>5</v>
      </c>
      <c r="F98" s="18"/>
      <c r="G98" s="18" t="s">
        <v>6</v>
      </c>
      <c r="H98" s="18" t="s">
        <v>10</v>
      </c>
      <c r="I98" s="18">
        <v>45429</v>
      </c>
      <c r="J98" s="18" t="s">
        <v>60</v>
      </c>
      <c r="K98" s="18">
        <v>123457</v>
      </c>
      <c r="L98" s="29">
        <v>1</v>
      </c>
      <c r="M98" s="29">
        <v>1</v>
      </c>
      <c r="N98" s="29">
        <v>1</v>
      </c>
      <c r="O98" s="30">
        <v>5.25</v>
      </c>
      <c r="P98" s="29">
        <v>27200004171</v>
      </c>
      <c r="Q98" s="18" t="s">
        <v>65</v>
      </c>
      <c r="R98" s="29" t="s">
        <v>7</v>
      </c>
      <c r="S98" s="29" t="s">
        <v>8</v>
      </c>
      <c r="T98" s="29"/>
      <c r="U98" s="29"/>
      <c r="V98" s="30"/>
      <c r="W98" s="29"/>
      <c r="X98" s="30"/>
      <c r="Y98" s="30"/>
      <c r="Z98" s="29"/>
      <c r="AA98" s="30"/>
      <c r="AB98" s="29"/>
      <c r="AC98" s="29"/>
      <c r="AD98" s="30"/>
      <c r="AE98" s="29"/>
      <c r="AF98" s="29" t="s">
        <v>119</v>
      </c>
      <c r="AG98" s="30">
        <v>0.7</v>
      </c>
      <c r="AH98" s="29"/>
      <c r="AI98" s="29"/>
      <c r="AJ98" s="76"/>
    </row>
    <row r="99" spans="1:37" ht="14.1" customHeight="1" thickBot="1" x14ac:dyDescent="0.3">
      <c r="A99" s="605"/>
      <c r="B99" s="606"/>
      <c r="C99" s="422" t="s">
        <v>4</v>
      </c>
      <c r="D99" s="100">
        <v>1</v>
      </c>
      <c r="E99" s="100" t="s">
        <v>5</v>
      </c>
      <c r="F99" s="100"/>
      <c r="G99" s="100" t="s">
        <v>6</v>
      </c>
      <c r="H99" s="100" t="s">
        <v>10</v>
      </c>
      <c r="I99" s="100">
        <v>45429</v>
      </c>
      <c r="J99" s="100" t="s">
        <v>60</v>
      </c>
      <c r="K99" s="100">
        <v>123457</v>
      </c>
      <c r="L99" s="101">
        <v>1</v>
      </c>
      <c r="M99" s="101">
        <v>1</v>
      </c>
      <c r="N99" s="101">
        <v>1</v>
      </c>
      <c r="O99" s="102">
        <v>50</v>
      </c>
      <c r="P99" s="101">
        <v>27200018659</v>
      </c>
      <c r="Q99" s="100" t="s">
        <v>66</v>
      </c>
      <c r="R99" s="101" t="s">
        <v>9</v>
      </c>
      <c r="S99" s="101" t="s">
        <v>8</v>
      </c>
      <c r="T99" s="101"/>
      <c r="U99" s="101"/>
      <c r="V99" s="102"/>
      <c r="W99" s="101"/>
      <c r="X99" s="102"/>
      <c r="Y99" s="102"/>
      <c r="Z99" s="101"/>
      <c r="AA99" s="102"/>
      <c r="AB99" s="101"/>
      <c r="AC99" s="101"/>
      <c r="AD99" s="102"/>
      <c r="AE99" s="101"/>
      <c r="AF99" s="101" t="s">
        <v>119</v>
      </c>
      <c r="AG99" s="102">
        <v>7</v>
      </c>
      <c r="AH99" s="101"/>
      <c r="AI99" s="101"/>
      <c r="AJ99" s="103"/>
    </row>
    <row r="100" spans="1:37" s="2" customFormat="1" ht="13.5" thickBot="1" x14ac:dyDescent="0.25">
      <c r="A100" s="605"/>
      <c r="B100" s="606"/>
      <c r="C100" s="607"/>
      <c r="D100" s="608"/>
      <c r="E100" s="608"/>
      <c r="F100" s="608"/>
      <c r="G100" s="608"/>
      <c r="H100" s="608"/>
      <c r="I100" s="608"/>
      <c r="J100" s="608"/>
      <c r="K100" s="608"/>
      <c r="L100" s="608"/>
      <c r="M100" s="608"/>
      <c r="N100" s="608"/>
      <c r="O100" s="608"/>
      <c r="P100" s="608"/>
      <c r="Q100" s="608"/>
      <c r="R100" s="608"/>
      <c r="S100" s="608"/>
      <c r="T100" s="608"/>
      <c r="U100" s="608"/>
      <c r="V100" s="608"/>
      <c r="W100" s="608"/>
      <c r="X100" s="608"/>
      <c r="Y100" s="608"/>
      <c r="Z100" s="608"/>
      <c r="AA100" s="608"/>
      <c r="AB100" s="608"/>
      <c r="AC100" s="608"/>
      <c r="AD100" s="608"/>
      <c r="AE100" s="608"/>
      <c r="AF100" s="608"/>
      <c r="AG100" s="608"/>
      <c r="AH100" s="608"/>
      <c r="AI100" s="608"/>
      <c r="AJ100" s="609"/>
      <c r="AK100" s="11"/>
    </row>
    <row r="101" spans="1:37" ht="18.75" customHeight="1" x14ac:dyDescent="0.25">
      <c r="A101" s="592">
        <v>23</v>
      </c>
      <c r="B101" s="529" t="s">
        <v>122</v>
      </c>
      <c r="C101" s="411" t="s">
        <v>4</v>
      </c>
      <c r="D101" s="109">
        <v>1</v>
      </c>
      <c r="E101" s="109" t="s">
        <v>5</v>
      </c>
      <c r="F101" s="109"/>
      <c r="G101" s="109" t="s">
        <v>6</v>
      </c>
      <c r="H101" s="109" t="s">
        <v>10</v>
      </c>
      <c r="I101" s="109">
        <v>45429</v>
      </c>
      <c r="J101" s="109" t="s">
        <v>59</v>
      </c>
      <c r="K101" s="109">
        <v>123456</v>
      </c>
      <c r="L101" s="110">
        <v>1</v>
      </c>
      <c r="M101" s="110">
        <v>1</v>
      </c>
      <c r="N101" s="110">
        <v>1</v>
      </c>
      <c r="O101" s="193">
        <f>O98-AD101</f>
        <v>5</v>
      </c>
      <c r="P101" s="110">
        <v>27200004171</v>
      </c>
      <c r="Q101" s="109" t="s">
        <v>65</v>
      </c>
      <c r="R101" s="110" t="s">
        <v>7</v>
      </c>
      <c r="S101" s="194" t="s">
        <v>13</v>
      </c>
      <c r="T101" s="110"/>
      <c r="U101" s="110"/>
      <c r="V101" s="112"/>
      <c r="W101" s="110"/>
      <c r="X101" s="112"/>
      <c r="Y101" s="114"/>
      <c r="Z101" s="110"/>
      <c r="AA101" s="112"/>
      <c r="AB101" s="194" t="s">
        <v>13</v>
      </c>
      <c r="AC101" s="194">
        <v>2</v>
      </c>
      <c r="AD101" s="193">
        <v>0.25</v>
      </c>
      <c r="AE101" s="111"/>
      <c r="AF101" s="195" t="s">
        <v>119</v>
      </c>
      <c r="AG101" s="209">
        <v>0.7</v>
      </c>
      <c r="AH101" s="193" t="s">
        <v>67</v>
      </c>
      <c r="AI101" s="110"/>
      <c r="AJ101" s="115"/>
    </row>
    <row r="102" spans="1:37" ht="18.75" customHeight="1" x14ac:dyDescent="0.25">
      <c r="A102" s="593"/>
      <c r="B102" s="549"/>
      <c r="C102" s="123" t="s">
        <v>4</v>
      </c>
      <c r="D102" s="14">
        <v>1</v>
      </c>
      <c r="E102" s="14" t="s">
        <v>5</v>
      </c>
      <c r="F102" s="14"/>
      <c r="G102" s="14" t="s">
        <v>6</v>
      </c>
      <c r="H102" s="14" t="s">
        <v>10</v>
      </c>
      <c r="I102" s="14">
        <v>45429</v>
      </c>
      <c r="J102" s="14" t="s">
        <v>59</v>
      </c>
      <c r="K102" s="14">
        <v>123456</v>
      </c>
      <c r="L102" s="389">
        <v>2</v>
      </c>
      <c r="M102" s="389">
        <v>1</v>
      </c>
      <c r="N102" s="389">
        <v>1</v>
      </c>
      <c r="O102" s="28">
        <f>O98-AD102</f>
        <v>5</v>
      </c>
      <c r="P102" s="389">
        <v>27200004171</v>
      </c>
      <c r="Q102" s="14" t="s">
        <v>65</v>
      </c>
      <c r="R102" s="389" t="s">
        <v>7</v>
      </c>
      <c r="S102" s="25" t="s">
        <v>13</v>
      </c>
      <c r="T102" s="389"/>
      <c r="U102" s="389"/>
      <c r="V102" s="26"/>
      <c r="W102" s="389"/>
      <c r="X102" s="26"/>
      <c r="Y102" s="27"/>
      <c r="Z102" s="389"/>
      <c r="AA102" s="26"/>
      <c r="AB102" s="25" t="s">
        <v>13</v>
      </c>
      <c r="AC102" s="25">
        <v>2</v>
      </c>
      <c r="AD102" s="28">
        <v>0.25</v>
      </c>
      <c r="AE102" s="19"/>
      <c r="AF102" s="59" t="s">
        <v>119</v>
      </c>
      <c r="AG102" s="207">
        <v>0.7</v>
      </c>
      <c r="AH102" s="28" t="s">
        <v>67</v>
      </c>
      <c r="AI102" s="389"/>
      <c r="AJ102" s="390"/>
    </row>
    <row r="103" spans="1:37" ht="18.75" customHeight="1" x14ac:dyDescent="0.25">
      <c r="A103" s="593"/>
      <c r="B103" s="549"/>
      <c r="C103" s="123" t="s">
        <v>4</v>
      </c>
      <c r="D103" s="14">
        <v>1</v>
      </c>
      <c r="E103" s="14" t="s">
        <v>5</v>
      </c>
      <c r="F103" s="14"/>
      <c r="G103" s="14" t="s">
        <v>6</v>
      </c>
      <c r="H103" s="14" t="s">
        <v>10</v>
      </c>
      <c r="I103" s="14">
        <v>45429</v>
      </c>
      <c r="J103" s="14" t="s">
        <v>59</v>
      </c>
      <c r="K103" s="14">
        <v>123456</v>
      </c>
      <c r="L103" s="389">
        <v>3</v>
      </c>
      <c r="M103" s="389">
        <v>1</v>
      </c>
      <c r="N103" s="389">
        <v>1</v>
      </c>
      <c r="O103" s="28">
        <f>O97-AD103</f>
        <v>6.3</v>
      </c>
      <c r="P103" s="389">
        <v>26100005738</v>
      </c>
      <c r="Q103" s="14" t="s">
        <v>15</v>
      </c>
      <c r="R103" s="389" t="s">
        <v>7</v>
      </c>
      <c r="S103" s="25" t="s">
        <v>13</v>
      </c>
      <c r="T103" s="389"/>
      <c r="U103" s="389"/>
      <c r="V103" s="26"/>
      <c r="W103" s="389"/>
      <c r="X103" s="26"/>
      <c r="Y103" s="27"/>
      <c r="Z103" s="389"/>
      <c r="AA103" s="26"/>
      <c r="AB103" s="25" t="s">
        <v>13</v>
      </c>
      <c r="AC103" s="25">
        <v>2</v>
      </c>
      <c r="AD103" s="28">
        <v>0.2</v>
      </c>
      <c r="AE103" s="19"/>
      <c r="AF103" s="59" t="s">
        <v>119</v>
      </c>
      <c r="AG103" s="207">
        <v>0.25</v>
      </c>
      <c r="AH103" s="28" t="s">
        <v>67</v>
      </c>
      <c r="AI103" s="389"/>
      <c r="AJ103" s="390"/>
    </row>
    <row r="104" spans="1:37" ht="18.75" customHeight="1" x14ac:dyDescent="0.25">
      <c r="A104" s="593"/>
      <c r="B104" s="549"/>
      <c r="C104" s="123" t="s">
        <v>4</v>
      </c>
      <c r="D104" s="14">
        <v>1</v>
      </c>
      <c r="E104" s="14" t="s">
        <v>5</v>
      </c>
      <c r="F104" s="14"/>
      <c r="G104" s="14" t="s">
        <v>6</v>
      </c>
      <c r="H104" s="14" t="s">
        <v>10</v>
      </c>
      <c r="I104" s="14">
        <v>45429</v>
      </c>
      <c r="J104" s="14" t="s">
        <v>59</v>
      </c>
      <c r="K104" s="14">
        <v>123456</v>
      </c>
      <c r="L104" s="389">
        <v>4</v>
      </c>
      <c r="M104" s="389">
        <v>1</v>
      </c>
      <c r="N104" s="389">
        <v>1</v>
      </c>
      <c r="O104" s="28">
        <f>O97-AD104</f>
        <v>6.3</v>
      </c>
      <c r="P104" s="389">
        <v>26100005738</v>
      </c>
      <c r="Q104" s="14" t="s">
        <v>15</v>
      </c>
      <c r="R104" s="389" t="s">
        <v>7</v>
      </c>
      <c r="S104" s="25" t="s">
        <v>13</v>
      </c>
      <c r="T104" s="389"/>
      <c r="U104" s="389"/>
      <c r="V104" s="26"/>
      <c r="W104" s="389"/>
      <c r="X104" s="26"/>
      <c r="Y104" s="27"/>
      <c r="Z104" s="389"/>
      <c r="AA104" s="26"/>
      <c r="AB104" s="25" t="s">
        <v>13</v>
      </c>
      <c r="AC104" s="25">
        <v>2</v>
      </c>
      <c r="AD104" s="28">
        <v>0.2</v>
      </c>
      <c r="AE104" s="19"/>
      <c r="AF104" s="59" t="s">
        <v>119</v>
      </c>
      <c r="AG104" s="207">
        <v>0.25</v>
      </c>
      <c r="AH104" s="28" t="s">
        <v>67</v>
      </c>
      <c r="AI104" s="389"/>
      <c r="AJ104" s="390"/>
    </row>
    <row r="105" spans="1:37" s="2" customFormat="1" ht="12.75" x14ac:dyDescent="0.2">
      <c r="A105" s="593"/>
      <c r="B105" s="549"/>
      <c r="C105" s="524"/>
      <c r="D105" s="525"/>
      <c r="E105" s="525"/>
      <c r="F105" s="525"/>
      <c r="G105" s="525"/>
      <c r="H105" s="525"/>
      <c r="I105" s="525"/>
      <c r="J105" s="525"/>
      <c r="K105" s="525"/>
      <c r="L105" s="525"/>
      <c r="M105" s="525"/>
      <c r="N105" s="525"/>
      <c r="O105" s="525"/>
      <c r="P105" s="525"/>
      <c r="Q105" s="525"/>
      <c r="R105" s="525"/>
      <c r="S105" s="525"/>
      <c r="T105" s="525"/>
      <c r="U105" s="525"/>
      <c r="V105" s="525"/>
      <c r="W105" s="525"/>
      <c r="X105" s="525"/>
      <c r="Y105" s="525"/>
      <c r="Z105" s="525"/>
      <c r="AA105" s="525"/>
      <c r="AB105" s="525"/>
      <c r="AC105" s="525"/>
      <c r="AD105" s="525"/>
      <c r="AE105" s="525"/>
      <c r="AF105" s="525"/>
      <c r="AG105" s="525"/>
      <c r="AH105" s="525"/>
      <c r="AI105" s="525"/>
      <c r="AJ105" s="526"/>
      <c r="AK105" s="11"/>
    </row>
    <row r="106" spans="1:37" ht="16.149999999999999" customHeight="1" x14ac:dyDescent="0.25">
      <c r="A106" s="593"/>
      <c r="B106" s="549"/>
      <c r="C106" s="123" t="s">
        <v>4</v>
      </c>
      <c r="D106" s="14">
        <v>1</v>
      </c>
      <c r="E106" s="14" t="s">
        <v>5</v>
      </c>
      <c r="F106" s="14"/>
      <c r="G106" s="14" t="s">
        <v>6</v>
      </c>
      <c r="H106" s="14" t="s">
        <v>10</v>
      </c>
      <c r="I106" s="14">
        <v>45429</v>
      </c>
      <c r="J106" s="14" t="s">
        <v>59</v>
      </c>
      <c r="K106" s="14">
        <v>123456</v>
      </c>
      <c r="L106" s="389">
        <v>1</v>
      </c>
      <c r="M106" s="389">
        <v>1</v>
      </c>
      <c r="N106" s="389">
        <v>2</v>
      </c>
      <c r="O106" s="28">
        <f>O98</f>
        <v>5.25</v>
      </c>
      <c r="P106" s="389">
        <v>27200004171</v>
      </c>
      <c r="Q106" s="14" t="s">
        <v>65</v>
      </c>
      <c r="R106" s="389" t="s">
        <v>7</v>
      </c>
      <c r="S106" s="25" t="s">
        <v>13</v>
      </c>
      <c r="T106" s="389"/>
      <c r="U106" s="389"/>
      <c r="V106" s="26"/>
      <c r="W106" s="389"/>
      <c r="X106" s="26"/>
      <c r="Y106" s="27"/>
      <c r="Z106" s="389"/>
      <c r="AA106" s="26"/>
      <c r="AB106" s="25" t="s">
        <v>13</v>
      </c>
      <c r="AC106" s="25">
        <v>2</v>
      </c>
      <c r="AD106" s="28">
        <v>0.25</v>
      </c>
      <c r="AE106" s="19"/>
      <c r="AF106" s="59" t="s">
        <v>119</v>
      </c>
      <c r="AG106" s="207">
        <v>0.7</v>
      </c>
      <c r="AH106" s="28" t="s">
        <v>67</v>
      </c>
      <c r="AI106" s="389"/>
      <c r="AJ106" s="390"/>
    </row>
    <row r="107" spans="1:37" ht="15" x14ac:dyDescent="0.25">
      <c r="A107" s="593"/>
      <c r="B107" s="549"/>
      <c r="C107" s="123" t="s">
        <v>4</v>
      </c>
      <c r="D107" s="14">
        <v>1</v>
      </c>
      <c r="E107" s="14" t="s">
        <v>5</v>
      </c>
      <c r="F107" s="14"/>
      <c r="G107" s="14" t="s">
        <v>6</v>
      </c>
      <c r="H107" s="14" t="s">
        <v>10</v>
      </c>
      <c r="I107" s="14">
        <v>45429</v>
      </c>
      <c r="J107" s="14" t="s">
        <v>59</v>
      </c>
      <c r="K107" s="14">
        <v>123456</v>
      </c>
      <c r="L107" s="389">
        <v>2</v>
      </c>
      <c r="M107" s="389">
        <v>1</v>
      </c>
      <c r="N107" s="389">
        <v>1</v>
      </c>
      <c r="O107" s="28">
        <f>O97</f>
        <v>6.5</v>
      </c>
      <c r="P107" s="389">
        <v>26100005738</v>
      </c>
      <c r="Q107" s="14" t="s">
        <v>15</v>
      </c>
      <c r="R107" s="389" t="s">
        <v>7</v>
      </c>
      <c r="S107" s="25" t="s">
        <v>13</v>
      </c>
      <c r="T107" s="389"/>
      <c r="U107" s="389"/>
      <c r="V107" s="26"/>
      <c r="W107" s="389"/>
      <c r="X107" s="26"/>
      <c r="Y107" s="27"/>
      <c r="Z107" s="389"/>
      <c r="AA107" s="26"/>
      <c r="AB107" s="25" t="s">
        <v>13</v>
      </c>
      <c r="AC107" s="25">
        <v>2</v>
      </c>
      <c r="AD107" s="28">
        <v>0.2</v>
      </c>
      <c r="AE107" s="19"/>
      <c r="AF107" s="59" t="s">
        <v>119</v>
      </c>
      <c r="AG107" s="207">
        <v>0.25</v>
      </c>
      <c r="AH107" s="28" t="s">
        <v>67</v>
      </c>
      <c r="AI107" s="389"/>
      <c r="AJ107" s="390"/>
    </row>
    <row r="108" spans="1:37" ht="15.75" thickBot="1" x14ac:dyDescent="0.3">
      <c r="A108" s="594"/>
      <c r="B108" s="528"/>
      <c r="C108" s="122" t="s">
        <v>4</v>
      </c>
      <c r="D108" s="91">
        <v>1</v>
      </c>
      <c r="E108" s="91" t="s">
        <v>5</v>
      </c>
      <c r="F108" s="91"/>
      <c r="G108" s="91" t="s">
        <v>6</v>
      </c>
      <c r="H108" s="91" t="s">
        <v>10</v>
      </c>
      <c r="I108" s="91">
        <v>45429</v>
      </c>
      <c r="J108" s="91" t="s">
        <v>59</v>
      </c>
      <c r="K108" s="91">
        <v>123456</v>
      </c>
      <c r="L108" s="88">
        <v>3</v>
      </c>
      <c r="M108" s="88">
        <v>1</v>
      </c>
      <c r="N108" s="88">
        <v>1</v>
      </c>
      <c r="O108" s="79">
        <f>O96-AD108</f>
        <v>5.5</v>
      </c>
      <c r="P108" s="88">
        <v>1230020608</v>
      </c>
      <c r="Q108" s="91" t="s">
        <v>11</v>
      </c>
      <c r="R108" s="88" t="s">
        <v>7</v>
      </c>
      <c r="S108" s="81" t="s">
        <v>13</v>
      </c>
      <c r="T108" s="88"/>
      <c r="U108" s="88"/>
      <c r="V108" s="89"/>
      <c r="W108" s="88"/>
      <c r="X108" s="89"/>
      <c r="Y108" s="82"/>
      <c r="Z108" s="88"/>
      <c r="AA108" s="89"/>
      <c r="AB108" s="81" t="s">
        <v>13</v>
      </c>
      <c r="AC108" s="81">
        <v>2</v>
      </c>
      <c r="AD108" s="79">
        <v>0.2</v>
      </c>
      <c r="AE108" s="78"/>
      <c r="AF108" s="83" t="s">
        <v>119</v>
      </c>
      <c r="AG108" s="208">
        <v>0.5</v>
      </c>
      <c r="AH108" s="79" t="s">
        <v>67</v>
      </c>
      <c r="AI108" s="88"/>
      <c r="AJ108" s="90"/>
    </row>
    <row r="109" spans="1:37" s="211" customFormat="1" ht="13.5" customHeight="1" thickBot="1" x14ac:dyDescent="0.3">
      <c r="A109" s="245"/>
      <c r="B109" s="246"/>
      <c r="C109" s="412"/>
      <c r="D109" s="247"/>
      <c r="E109" s="247"/>
      <c r="F109" s="247"/>
      <c r="G109" s="247"/>
      <c r="H109" s="247"/>
      <c r="I109" s="247"/>
      <c r="J109" s="247"/>
      <c r="K109" s="247"/>
      <c r="L109" s="247"/>
      <c r="M109" s="247"/>
      <c r="N109" s="247"/>
      <c r="O109" s="247"/>
      <c r="P109" s="248"/>
      <c r="Q109" s="249"/>
      <c r="R109" s="247"/>
      <c r="S109" s="247"/>
      <c r="T109" s="247"/>
      <c r="U109" s="247"/>
      <c r="V109" s="247"/>
      <c r="W109" s="248"/>
      <c r="X109" s="247"/>
      <c r="Y109" s="248"/>
      <c r="Z109" s="248"/>
      <c r="AA109" s="247"/>
      <c r="AB109" s="248"/>
      <c r="AC109" s="247"/>
      <c r="AD109" s="247"/>
      <c r="AE109" s="248"/>
      <c r="AF109" s="247"/>
      <c r="AG109" s="247"/>
      <c r="AH109" s="248"/>
      <c r="AI109" s="247"/>
      <c r="AJ109" s="413"/>
      <c r="AK109" s="404"/>
    </row>
    <row r="110" spans="1:37" s="2" customFormat="1" ht="12.75" customHeight="1" x14ac:dyDescent="0.2">
      <c r="A110" s="566">
        <v>24</v>
      </c>
      <c r="B110" s="527" t="s">
        <v>113</v>
      </c>
      <c r="C110" s="160" t="s">
        <v>4</v>
      </c>
      <c r="D110" s="161">
        <v>1</v>
      </c>
      <c r="E110" s="161" t="s">
        <v>5</v>
      </c>
      <c r="F110" s="161"/>
      <c r="G110" s="161" t="s">
        <v>6</v>
      </c>
      <c r="H110" s="161" t="s">
        <v>10</v>
      </c>
      <c r="I110" s="161">
        <v>45429</v>
      </c>
      <c r="J110" s="161" t="s">
        <v>60</v>
      </c>
      <c r="K110" s="161">
        <v>123457</v>
      </c>
      <c r="L110" s="165">
        <v>1</v>
      </c>
      <c r="M110" s="165">
        <v>1</v>
      </c>
      <c r="N110" s="165">
        <v>1</v>
      </c>
      <c r="O110" s="167">
        <v>6.5</v>
      </c>
      <c r="P110" s="165">
        <v>26100005738</v>
      </c>
      <c r="Q110" s="416" t="s">
        <v>15</v>
      </c>
      <c r="R110" s="165" t="s">
        <v>7</v>
      </c>
      <c r="S110" s="165" t="s">
        <v>8</v>
      </c>
      <c r="T110" s="165"/>
      <c r="U110" s="165"/>
      <c r="V110" s="165"/>
      <c r="W110" s="165"/>
      <c r="X110" s="165"/>
      <c r="Y110" s="165"/>
      <c r="Z110" s="165"/>
      <c r="AA110" s="165"/>
      <c r="AB110" s="165"/>
      <c r="AC110" s="165"/>
      <c r="AD110" s="165"/>
      <c r="AE110" s="165"/>
      <c r="AF110" s="165" t="s">
        <v>119</v>
      </c>
      <c r="AG110" s="165">
        <v>0.25</v>
      </c>
      <c r="AH110" s="165"/>
      <c r="AI110" s="165"/>
      <c r="AJ110" s="168"/>
      <c r="AK110" s="11"/>
    </row>
    <row r="111" spans="1:37" s="2" customFormat="1" ht="12.75" customHeight="1" x14ac:dyDescent="0.2">
      <c r="A111" s="567"/>
      <c r="B111" s="549"/>
      <c r="C111" s="162" t="s">
        <v>4</v>
      </c>
      <c r="D111" s="163">
        <v>1</v>
      </c>
      <c r="E111" s="163" t="s">
        <v>5</v>
      </c>
      <c r="F111" s="163"/>
      <c r="G111" s="163" t="s">
        <v>6</v>
      </c>
      <c r="H111" s="163" t="s">
        <v>10</v>
      </c>
      <c r="I111" s="163">
        <v>45429</v>
      </c>
      <c r="J111" s="163" t="s">
        <v>59</v>
      </c>
      <c r="K111" s="163">
        <v>123457</v>
      </c>
      <c r="L111" s="166">
        <v>1</v>
      </c>
      <c r="M111" s="166">
        <v>1</v>
      </c>
      <c r="N111" s="166">
        <v>1</v>
      </c>
      <c r="O111" s="30">
        <v>50</v>
      </c>
      <c r="P111" s="166">
        <v>26100805734</v>
      </c>
      <c r="Q111" s="417" t="s">
        <v>15</v>
      </c>
      <c r="R111" s="166" t="s">
        <v>9</v>
      </c>
      <c r="S111" s="166" t="s">
        <v>8</v>
      </c>
      <c r="T111" s="166"/>
      <c r="U111" s="166"/>
      <c r="V111" s="166"/>
      <c r="W111" s="166"/>
      <c r="X111" s="166"/>
      <c r="Y111" s="166"/>
      <c r="Z111" s="166"/>
      <c r="AA111" s="166"/>
      <c r="AB111" s="166"/>
      <c r="AC111" s="166"/>
      <c r="AD111" s="166"/>
      <c r="AE111" s="166"/>
      <c r="AF111" s="166" t="s">
        <v>119</v>
      </c>
      <c r="AG111" s="166">
        <v>2.5</v>
      </c>
      <c r="AH111" s="166"/>
      <c r="AI111" s="166"/>
      <c r="AJ111" s="169"/>
      <c r="AK111" s="11"/>
    </row>
    <row r="112" spans="1:37" s="2" customFormat="1" ht="12.75" x14ac:dyDescent="0.2">
      <c r="A112" s="567"/>
      <c r="B112" s="549"/>
      <c r="C112" s="524"/>
      <c r="D112" s="525"/>
      <c r="E112" s="525"/>
      <c r="F112" s="525"/>
      <c r="G112" s="525"/>
      <c r="H112" s="525"/>
      <c r="I112" s="525"/>
      <c r="J112" s="525"/>
      <c r="K112" s="525"/>
      <c r="L112" s="525"/>
      <c r="M112" s="525"/>
      <c r="N112" s="525"/>
      <c r="O112" s="525"/>
      <c r="P112" s="525"/>
      <c r="Q112" s="525"/>
      <c r="R112" s="525"/>
      <c r="S112" s="525"/>
      <c r="T112" s="525"/>
      <c r="U112" s="525"/>
      <c r="V112" s="525"/>
      <c r="W112" s="525"/>
      <c r="X112" s="525"/>
      <c r="Y112" s="525"/>
      <c r="Z112" s="525"/>
      <c r="AA112" s="525"/>
      <c r="AB112" s="525"/>
      <c r="AC112" s="525"/>
      <c r="AD112" s="525"/>
      <c r="AE112" s="525"/>
      <c r="AF112" s="525"/>
      <c r="AG112" s="525"/>
      <c r="AH112" s="525"/>
      <c r="AI112" s="525"/>
      <c r="AJ112" s="526"/>
      <c r="AK112" s="11"/>
    </row>
    <row r="113" spans="1:37" s="2" customFormat="1" ht="12.75" customHeight="1" x14ac:dyDescent="0.2">
      <c r="A113" s="567"/>
      <c r="B113" s="549"/>
      <c r="C113" s="159" t="s">
        <v>4</v>
      </c>
      <c r="D113" s="15">
        <v>1</v>
      </c>
      <c r="E113" s="15" t="s">
        <v>5</v>
      </c>
      <c r="F113" s="15"/>
      <c r="G113" s="15" t="s">
        <v>6</v>
      </c>
      <c r="H113" s="15" t="s">
        <v>10</v>
      </c>
      <c r="I113" s="15">
        <v>45429</v>
      </c>
      <c r="J113" s="15" t="s">
        <v>60</v>
      </c>
      <c r="K113" s="15">
        <v>123457</v>
      </c>
      <c r="L113" s="164">
        <v>1</v>
      </c>
      <c r="M113" s="164">
        <v>1</v>
      </c>
      <c r="N113" s="164">
        <v>1</v>
      </c>
      <c r="O113" s="28">
        <v>6</v>
      </c>
      <c r="P113" s="164">
        <v>26100005738</v>
      </c>
      <c r="Q113" s="418" t="s">
        <v>15</v>
      </c>
      <c r="R113" s="164" t="s">
        <v>7</v>
      </c>
      <c r="S113" s="176" t="s">
        <v>13</v>
      </c>
      <c r="T113" s="164"/>
      <c r="U113" s="164"/>
      <c r="V113" s="164"/>
      <c r="W113" s="164"/>
      <c r="X113" s="164"/>
      <c r="Y113" s="164"/>
      <c r="Z113" s="164"/>
      <c r="AA113" s="164"/>
      <c r="AB113" s="176" t="s">
        <v>13</v>
      </c>
      <c r="AC113" s="176">
        <v>2</v>
      </c>
      <c r="AD113" s="178">
        <v>0.5</v>
      </c>
      <c r="AE113" s="164"/>
      <c r="AF113" s="59" t="s">
        <v>119</v>
      </c>
      <c r="AG113" s="207">
        <v>0.25</v>
      </c>
      <c r="AH113" s="28" t="s">
        <v>67</v>
      </c>
      <c r="AI113" s="164"/>
      <c r="AJ113" s="170"/>
      <c r="AK113" s="11"/>
    </row>
    <row r="114" spans="1:37" s="2" customFormat="1" ht="12.75" customHeight="1" x14ac:dyDescent="0.2">
      <c r="A114" s="567"/>
      <c r="B114" s="549"/>
      <c r="C114" s="159" t="s">
        <v>4</v>
      </c>
      <c r="D114" s="15">
        <v>1</v>
      </c>
      <c r="E114" s="15" t="s">
        <v>5</v>
      </c>
      <c r="F114" s="15"/>
      <c r="G114" s="15" t="s">
        <v>6</v>
      </c>
      <c r="H114" s="15" t="s">
        <v>10</v>
      </c>
      <c r="I114" s="15">
        <v>45429</v>
      </c>
      <c r="J114" s="15" t="s">
        <v>60</v>
      </c>
      <c r="K114" s="15">
        <v>123456</v>
      </c>
      <c r="L114" s="164">
        <v>2</v>
      </c>
      <c r="M114" s="164">
        <v>1</v>
      </c>
      <c r="N114" s="164">
        <v>1</v>
      </c>
      <c r="O114" s="28">
        <v>5</v>
      </c>
      <c r="P114" s="164">
        <v>26100005738</v>
      </c>
      <c r="Q114" s="418" t="s">
        <v>15</v>
      </c>
      <c r="R114" s="164" t="s">
        <v>7</v>
      </c>
      <c r="S114" s="176" t="s">
        <v>13</v>
      </c>
      <c r="T114" s="164"/>
      <c r="U114" s="164"/>
      <c r="V114" s="164"/>
      <c r="W114" s="164"/>
      <c r="X114" s="164"/>
      <c r="Y114" s="164"/>
      <c r="Z114" s="157">
        <v>526100210762</v>
      </c>
      <c r="AA114" s="178">
        <v>1</v>
      </c>
      <c r="AB114" s="176" t="s">
        <v>13</v>
      </c>
      <c r="AC114" s="176">
        <v>2</v>
      </c>
      <c r="AD114" s="178">
        <v>0.5</v>
      </c>
      <c r="AE114" s="164"/>
      <c r="AF114" s="59" t="s">
        <v>119</v>
      </c>
      <c r="AG114" s="207">
        <v>0.25</v>
      </c>
      <c r="AH114" s="28" t="s">
        <v>67</v>
      </c>
      <c r="AI114" s="164"/>
      <c r="AJ114" s="170"/>
      <c r="AK114" s="11"/>
    </row>
    <row r="115" spans="1:37" s="2" customFormat="1" ht="12.75" x14ac:dyDescent="0.2">
      <c r="A115" s="567"/>
      <c r="B115" s="549"/>
      <c r="C115" s="524"/>
      <c r="D115" s="525"/>
      <c r="E115" s="525"/>
      <c r="F115" s="525"/>
      <c r="G115" s="525"/>
      <c r="H115" s="525"/>
      <c r="I115" s="525"/>
      <c r="J115" s="525"/>
      <c r="K115" s="525"/>
      <c r="L115" s="525"/>
      <c r="M115" s="525"/>
      <c r="N115" s="525"/>
      <c r="O115" s="525"/>
      <c r="P115" s="525"/>
      <c r="Q115" s="525"/>
      <c r="R115" s="525"/>
      <c r="S115" s="525"/>
      <c r="T115" s="525"/>
      <c r="U115" s="525"/>
      <c r="V115" s="525"/>
      <c r="W115" s="525"/>
      <c r="X115" s="525"/>
      <c r="Y115" s="525"/>
      <c r="Z115" s="525"/>
      <c r="AA115" s="525"/>
      <c r="AB115" s="525"/>
      <c r="AC115" s="525"/>
      <c r="AD115" s="525"/>
      <c r="AE115" s="525"/>
      <c r="AF115" s="525"/>
      <c r="AG115" s="525"/>
      <c r="AH115" s="525"/>
      <c r="AI115" s="525"/>
      <c r="AJ115" s="526"/>
      <c r="AK115" s="11"/>
    </row>
    <row r="116" spans="1:37" s="3" customFormat="1" ht="12.75" customHeight="1" x14ac:dyDescent="0.2">
      <c r="A116" s="567"/>
      <c r="B116" s="549"/>
      <c r="C116" s="159" t="s">
        <v>4</v>
      </c>
      <c r="D116" s="15">
        <v>1</v>
      </c>
      <c r="E116" s="15" t="s">
        <v>5</v>
      </c>
      <c r="F116" s="15"/>
      <c r="G116" s="15" t="s">
        <v>6</v>
      </c>
      <c r="H116" s="15" t="s">
        <v>10</v>
      </c>
      <c r="I116" s="15">
        <v>45429</v>
      </c>
      <c r="J116" s="15" t="s">
        <v>60</v>
      </c>
      <c r="K116" s="15">
        <v>123457</v>
      </c>
      <c r="L116" s="164">
        <v>1</v>
      </c>
      <c r="M116" s="164">
        <v>1</v>
      </c>
      <c r="N116" s="164">
        <v>2</v>
      </c>
      <c r="O116" s="172">
        <v>5.5</v>
      </c>
      <c r="P116" s="164">
        <v>26100005738</v>
      </c>
      <c r="Q116" s="418" t="s">
        <v>15</v>
      </c>
      <c r="R116" s="164" t="s">
        <v>7</v>
      </c>
      <c r="S116" s="176" t="s">
        <v>13</v>
      </c>
      <c r="T116" s="164"/>
      <c r="U116" s="164"/>
      <c r="V116" s="164"/>
      <c r="W116" s="164"/>
      <c r="X116" s="164"/>
      <c r="Y116" s="164"/>
      <c r="Z116" s="157">
        <v>526100210762</v>
      </c>
      <c r="AA116" s="178">
        <v>0.5</v>
      </c>
      <c r="AB116" s="176" t="s">
        <v>13</v>
      </c>
      <c r="AC116" s="176">
        <v>2</v>
      </c>
      <c r="AD116" s="178">
        <v>0.5</v>
      </c>
      <c r="AE116" s="164"/>
      <c r="AF116" s="59" t="s">
        <v>119</v>
      </c>
      <c r="AG116" s="207">
        <v>0.25</v>
      </c>
      <c r="AH116" s="28" t="s">
        <v>67</v>
      </c>
      <c r="AI116" s="164"/>
      <c r="AJ116" s="170"/>
      <c r="AK116" s="11"/>
    </row>
    <row r="117" spans="1:37" s="2" customFormat="1" ht="12.75" x14ac:dyDescent="0.2">
      <c r="A117" s="567"/>
      <c r="B117" s="549"/>
      <c r="C117" s="524"/>
      <c r="D117" s="525"/>
      <c r="E117" s="525"/>
      <c r="F117" s="525"/>
      <c r="G117" s="525"/>
      <c r="H117" s="525"/>
      <c r="I117" s="525"/>
      <c r="J117" s="525"/>
      <c r="K117" s="525"/>
      <c r="L117" s="525"/>
      <c r="M117" s="525"/>
      <c r="N117" s="525"/>
      <c r="O117" s="525"/>
      <c r="P117" s="525"/>
      <c r="Q117" s="525"/>
      <c r="R117" s="525"/>
      <c r="S117" s="525"/>
      <c r="T117" s="525"/>
      <c r="U117" s="525"/>
      <c r="V117" s="525"/>
      <c r="W117" s="525"/>
      <c r="X117" s="525"/>
      <c r="Y117" s="525"/>
      <c r="Z117" s="525"/>
      <c r="AA117" s="525"/>
      <c r="AB117" s="525"/>
      <c r="AC117" s="525"/>
      <c r="AD117" s="525"/>
      <c r="AE117" s="525"/>
      <c r="AF117" s="525"/>
      <c r="AG117" s="525"/>
      <c r="AH117" s="525"/>
      <c r="AI117" s="525"/>
      <c r="AJ117" s="526"/>
      <c r="AK117" s="11"/>
    </row>
    <row r="118" spans="1:37" s="3" customFormat="1" ht="12.75" customHeight="1" thickBot="1" x14ac:dyDescent="0.25">
      <c r="A118" s="568"/>
      <c r="B118" s="528"/>
      <c r="C118" s="122" t="s">
        <v>4</v>
      </c>
      <c r="D118" s="116">
        <v>1</v>
      </c>
      <c r="E118" s="116" t="s">
        <v>5</v>
      </c>
      <c r="F118" s="116"/>
      <c r="G118" s="116" t="s">
        <v>6</v>
      </c>
      <c r="H118" s="116" t="s">
        <v>10</v>
      </c>
      <c r="I118" s="116">
        <v>45429</v>
      </c>
      <c r="J118" s="116" t="s">
        <v>59</v>
      </c>
      <c r="K118" s="116">
        <v>123457</v>
      </c>
      <c r="L118" s="87">
        <v>1</v>
      </c>
      <c r="M118" s="87">
        <v>1</v>
      </c>
      <c r="N118" s="87">
        <v>1</v>
      </c>
      <c r="O118" s="173">
        <v>40</v>
      </c>
      <c r="P118" s="174">
        <v>26100805734</v>
      </c>
      <c r="Q118" s="419" t="s">
        <v>15</v>
      </c>
      <c r="R118" s="174" t="s">
        <v>9</v>
      </c>
      <c r="S118" s="177" t="s">
        <v>13</v>
      </c>
      <c r="T118" s="87"/>
      <c r="U118" s="87"/>
      <c r="V118" s="87"/>
      <c r="W118" s="87"/>
      <c r="X118" s="87"/>
      <c r="Y118" s="87"/>
      <c r="Z118" s="175">
        <v>526100220747</v>
      </c>
      <c r="AA118" s="179">
        <v>5</v>
      </c>
      <c r="AB118" s="177" t="s">
        <v>13</v>
      </c>
      <c r="AC118" s="177">
        <v>2</v>
      </c>
      <c r="AD118" s="179">
        <v>5</v>
      </c>
      <c r="AE118" s="87"/>
      <c r="AF118" s="83" t="s">
        <v>119</v>
      </c>
      <c r="AG118" s="208">
        <v>2.5</v>
      </c>
      <c r="AH118" s="79" t="s">
        <v>67</v>
      </c>
      <c r="AI118" s="87"/>
      <c r="AJ118" s="171"/>
      <c r="AK118" s="11"/>
    </row>
    <row r="119" spans="1:37" s="211" customFormat="1" ht="13.5" customHeight="1" thickBot="1" x14ac:dyDescent="0.3">
      <c r="A119" s="245"/>
      <c r="B119" s="246"/>
      <c r="C119" s="412"/>
      <c r="D119" s="247"/>
      <c r="E119" s="247"/>
      <c r="F119" s="247"/>
      <c r="G119" s="247"/>
      <c r="H119" s="247"/>
      <c r="I119" s="247"/>
      <c r="J119" s="247"/>
      <c r="K119" s="247"/>
      <c r="L119" s="247"/>
      <c r="M119" s="247"/>
      <c r="N119" s="247"/>
      <c r="O119" s="247"/>
      <c r="P119" s="248"/>
      <c r="Q119" s="249"/>
      <c r="R119" s="247"/>
      <c r="S119" s="247"/>
      <c r="T119" s="247"/>
      <c r="U119" s="247"/>
      <c r="V119" s="247"/>
      <c r="W119" s="248"/>
      <c r="X119" s="247"/>
      <c r="Y119" s="248"/>
      <c r="Z119" s="248"/>
      <c r="AA119" s="247"/>
      <c r="AB119" s="248"/>
      <c r="AC119" s="247"/>
      <c r="AD119" s="247"/>
      <c r="AE119" s="248"/>
      <c r="AF119" s="247"/>
      <c r="AG119" s="247"/>
      <c r="AH119" s="248"/>
      <c r="AI119" s="247"/>
      <c r="AJ119" s="413"/>
      <c r="AK119" s="404"/>
    </row>
    <row r="120" spans="1:37" s="10" customFormat="1" ht="14.65" customHeight="1" x14ac:dyDescent="0.2">
      <c r="A120" s="592">
        <v>25</v>
      </c>
      <c r="B120" s="527" t="s">
        <v>112</v>
      </c>
      <c r="C120" s="160" t="s">
        <v>4</v>
      </c>
      <c r="D120" s="161">
        <v>1</v>
      </c>
      <c r="E120" s="161" t="s">
        <v>5</v>
      </c>
      <c r="F120" s="161"/>
      <c r="G120" s="161" t="s">
        <v>6</v>
      </c>
      <c r="H120" s="161" t="s">
        <v>10</v>
      </c>
      <c r="I120" s="161">
        <v>45429</v>
      </c>
      <c r="J120" s="161" t="s">
        <v>59</v>
      </c>
      <c r="K120" s="161">
        <v>123456</v>
      </c>
      <c r="L120" s="165">
        <v>1</v>
      </c>
      <c r="M120" s="165">
        <v>1</v>
      </c>
      <c r="N120" s="165">
        <v>1</v>
      </c>
      <c r="O120" s="167">
        <v>6.5</v>
      </c>
      <c r="P120" s="165">
        <v>26100005738</v>
      </c>
      <c r="Q120" s="416" t="s">
        <v>15</v>
      </c>
      <c r="R120" s="165" t="s">
        <v>7</v>
      </c>
      <c r="S120" s="165" t="s">
        <v>8</v>
      </c>
      <c r="T120" s="165"/>
      <c r="U120" s="165"/>
      <c r="V120" s="165"/>
      <c r="W120" s="165"/>
      <c r="X120" s="165"/>
      <c r="Y120" s="165"/>
      <c r="Z120" s="165"/>
      <c r="AA120" s="165"/>
      <c r="AB120" s="165"/>
      <c r="AC120" s="165"/>
      <c r="AD120" s="165"/>
      <c r="AE120" s="165"/>
      <c r="AF120" s="165" t="s">
        <v>119</v>
      </c>
      <c r="AG120" s="165">
        <v>0.25</v>
      </c>
      <c r="AH120" s="165"/>
      <c r="AI120" s="165"/>
      <c r="AJ120" s="168"/>
      <c r="AK120" s="11"/>
    </row>
    <row r="121" spans="1:37" s="10" customFormat="1" ht="12.75" customHeight="1" x14ac:dyDescent="0.2">
      <c r="A121" s="593"/>
      <c r="B121" s="549"/>
      <c r="C121" s="153"/>
      <c r="D121" s="6"/>
      <c r="E121" s="6"/>
      <c r="F121" s="6"/>
      <c r="G121" s="6"/>
      <c r="H121" s="6"/>
      <c r="I121" s="6"/>
      <c r="J121" s="6"/>
      <c r="K121" s="6"/>
      <c r="L121" s="6"/>
      <c r="M121" s="6"/>
      <c r="N121" s="6"/>
      <c r="O121" s="6"/>
      <c r="P121" s="12"/>
      <c r="Q121" s="6"/>
      <c r="R121" s="6"/>
      <c r="S121" s="6"/>
      <c r="T121" s="6"/>
      <c r="U121" s="6"/>
      <c r="V121" s="6"/>
      <c r="W121" s="6"/>
      <c r="X121" s="6"/>
      <c r="Y121" s="6"/>
      <c r="Z121" s="6"/>
      <c r="AA121" s="6"/>
      <c r="AB121" s="6"/>
      <c r="AC121" s="6"/>
      <c r="AD121" s="6"/>
      <c r="AE121" s="6"/>
      <c r="AF121" s="6"/>
      <c r="AG121" s="6"/>
      <c r="AH121" s="6"/>
      <c r="AI121" s="6"/>
      <c r="AJ121" s="154"/>
      <c r="AK121" s="11"/>
    </row>
    <row r="122" spans="1:37" s="10" customFormat="1" ht="12.75" customHeight="1" x14ac:dyDescent="0.2">
      <c r="A122" s="593"/>
      <c r="B122" s="549"/>
      <c r="C122" s="123" t="s">
        <v>4</v>
      </c>
      <c r="D122" s="14">
        <v>1</v>
      </c>
      <c r="E122" s="14" t="s">
        <v>5</v>
      </c>
      <c r="F122" s="14"/>
      <c r="G122" s="14" t="s">
        <v>6</v>
      </c>
      <c r="H122" s="14" t="s">
        <v>10</v>
      </c>
      <c r="I122" s="14">
        <v>45429</v>
      </c>
      <c r="J122" s="14" t="s">
        <v>59</v>
      </c>
      <c r="K122" s="14">
        <v>123456</v>
      </c>
      <c r="L122" s="389">
        <v>1</v>
      </c>
      <c r="M122" s="389">
        <v>1</v>
      </c>
      <c r="N122" s="389">
        <v>1</v>
      </c>
      <c r="O122" s="28">
        <v>6.25</v>
      </c>
      <c r="P122" s="389">
        <v>26100005738</v>
      </c>
      <c r="Q122" s="14" t="s">
        <v>15</v>
      </c>
      <c r="R122" s="389" t="s">
        <v>7</v>
      </c>
      <c r="S122" s="25" t="s">
        <v>13</v>
      </c>
      <c r="T122" s="25" t="s">
        <v>13</v>
      </c>
      <c r="U122" s="25">
        <v>2</v>
      </c>
      <c r="V122" s="28">
        <v>0.25</v>
      </c>
      <c r="W122" s="389"/>
      <c r="X122" s="26"/>
      <c r="Y122" s="26"/>
      <c r="Z122" s="393"/>
      <c r="AA122" s="150"/>
      <c r="AB122" s="19"/>
      <c r="AC122" s="19"/>
      <c r="AD122" s="27"/>
      <c r="AE122" s="389"/>
      <c r="AF122" s="59" t="s">
        <v>119</v>
      </c>
      <c r="AG122" s="207">
        <v>0.25</v>
      </c>
      <c r="AH122" s="19"/>
      <c r="AI122" s="389"/>
      <c r="AJ122" s="390"/>
      <c r="AK122" s="11"/>
    </row>
    <row r="123" spans="1:37" s="10" customFormat="1" ht="12.75" customHeight="1" x14ac:dyDescent="0.2">
      <c r="A123" s="593"/>
      <c r="B123" s="549"/>
      <c r="C123" s="123" t="s">
        <v>4</v>
      </c>
      <c r="D123" s="14">
        <v>1</v>
      </c>
      <c r="E123" s="14" t="s">
        <v>5</v>
      </c>
      <c r="F123" s="14"/>
      <c r="G123" s="14" t="s">
        <v>6</v>
      </c>
      <c r="H123" s="14" t="s">
        <v>10</v>
      </c>
      <c r="I123" s="14">
        <v>45429</v>
      </c>
      <c r="J123" s="14" t="s">
        <v>60</v>
      </c>
      <c r="K123" s="14">
        <v>123456</v>
      </c>
      <c r="L123" s="389">
        <v>2</v>
      </c>
      <c r="M123" s="389">
        <v>1</v>
      </c>
      <c r="N123" s="389">
        <v>1</v>
      </c>
      <c r="O123" s="28">
        <v>5.25</v>
      </c>
      <c r="P123" s="389">
        <v>26100005738</v>
      </c>
      <c r="Q123" s="14" t="s">
        <v>15</v>
      </c>
      <c r="R123" s="389" t="s">
        <v>7</v>
      </c>
      <c r="S123" s="25" t="s">
        <v>13</v>
      </c>
      <c r="T123" s="25" t="s">
        <v>13</v>
      </c>
      <c r="U123" s="25">
        <v>2</v>
      </c>
      <c r="V123" s="28">
        <v>0.25</v>
      </c>
      <c r="W123" s="389"/>
      <c r="X123" s="26"/>
      <c r="Y123" s="26"/>
      <c r="Z123" s="157">
        <v>526100210762</v>
      </c>
      <c r="AA123" s="149">
        <v>1</v>
      </c>
      <c r="AB123" s="19"/>
      <c r="AC123" s="19"/>
      <c r="AD123" s="27"/>
      <c r="AE123" s="389"/>
      <c r="AF123" s="59" t="s">
        <v>119</v>
      </c>
      <c r="AG123" s="207">
        <v>0.25</v>
      </c>
      <c r="AH123" s="19"/>
      <c r="AI123" s="389"/>
      <c r="AJ123" s="390"/>
      <c r="AK123" s="11"/>
    </row>
    <row r="124" spans="1:37" s="11" customFormat="1" ht="21" customHeight="1" x14ac:dyDescent="0.2">
      <c r="A124" s="593"/>
      <c r="B124" s="549"/>
      <c r="C124" s="155"/>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93"/>
    </row>
    <row r="125" spans="1:37" s="8" customFormat="1" ht="21" customHeight="1" thickBot="1" x14ac:dyDescent="0.3">
      <c r="A125" s="594"/>
      <c r="B125" s="528"/>
      <c r="C125" s="122" t="s">
        <v>4</v>
      </c>
      <c r="D125" s="91">
        <v>1</v>
      </c>
      <c r="E125" s="91" t="s">
        <v>5</v>
      </c>
      <c r="F125" s="91"/>
      <c r="G125" s="91" t="s">
        <v>6</v>
      </c>
      <c r="H125" s="91" t="s">
        <v>10</v>
      </c>
      <c r="I125" s="91">
        <v>45429</v>
      </c>
      <c r="J125" s="91" t="s">
        <v>59</v>
      </c>
      <c r="K125" s="91">
        <v>123456</v>
      </c>
      <c r="L125" s="88">
        <v>1</v>
      </c>
      <c r="M125" s="88">
        <v>1</v>
      </c>
      <c r="N125" s="88">
        <v>2</v>
      </c>
      <c r="O125" s="79">
        <v>5.75</v>
      </c>
      <c r="P125" s="88">
        <v>26100005738</v>
      </c>
      <c r="Q125" s="91" t="s">
        <v>15</v>
      </c>
      <c r="R125" s="88" t="s">
        <v>7</v>
      </c>
      <c r="S125" s="81" t="s">
        <v>13</v>
      </c>
      <c r="T125" s="81" t="s">
        <v>13</v>
      </c>
      <c r="U125" s="81">
        <v>2</v>
      </c>
      <c r="V125" s="79">
        <v>0.25</v>
      </c>
      <c r="W125" s="88"/>
      <c r="X125" s="89"/>
      <c r="Y125" s="89"/>
      <c r="Z125" s="158">
        <v>526100210762</v>
      </c>
      <c r="AA125" s="79">
        <v>0.5</v>
      </c>
      <c r="AB125" s="78"/>
      <c r="AC125" s="78"/>
      <c r="AD125" s="82"/>
      <c r="AE125" s="88"/>
      <c r="AF125" s="83" t="s">
        <v>119</v>
      </c>
      <c r="AG125" s="208">
        <v>0.25</v>
      </c>
      <c r="AH125" s="78"/>
      <c r="AI125" s="88"/>
      <c r="AJ125" s="90"/>
      <c r="AK125" s="23"/>
    </row>
    <row r="126" spans="1:37" s="211" customFormat="1" ht="13.5" customHeight="1" thickBot="1" x14ac:dyDescent="0.3">
      <c r="A126" s="245"/>
      <c r="B126" s="246"/>
      <c r="C126" s="412"/>
      <c r="D126" s="247"/>
      <c r="E126" s="247"/>
      <c r="F126" s="247"/>
      <c r="G126" s="247"/>
      <c r="H126" s="247"/>
      <c r="I126" s="247"/>
      <c r="J126" s="247"/>
      <c r="K126" s="247"/>
      <c r="L126" s="247"/>
      <c r="M126" s="247"/>
      <c r="N126" s="247"/>
      <c r="O126" s="247"/>
      <c r="P126" s="248"/>
      <c r="Q126" s="249"/>
      <c r="R126" s="247"/>
      <c r="S126" s="247"/>
      <c r="T126" s="247"/>
      <c r="U126" s="247"/>
      <c r="V126" s="247"/>
      <c r="W126" s="248"/>
      <c r="X126" s="247"/>
      <c r="Y126" s="248"/>
      <c r="Z126" s="248"/>
      <c r="AA126" s="247"/>
      <c r="AB126" s="248"/>
      <c r="AC126" s="247"/>
      <c r="AD126" s="247"/>
      <c r="AE126" s="248"/>
      <c r="AF126" s="247"/>
      <c r="AG126" s="247"/>
      <c r="AH126" s="248"/>
      <c r="AI126" s="247"/>
      <c r="AJ126" s="413"/>
      <c r="AK126" s="404"/>
    </row>
    <row r="127" spans="1:37" ht="15" x14ac:dyDescent="0.25">
      <c r="A127" s="566">
        <v>26</v>
      </c>
      <c r="B127" s="569" t="s">
        <v>123</v>
      </c>
      <c r="C127" s="98" t="s">
        <v>4</v>
      </c>
      <c r="D127" s="72">
        <v>1</v>
      </c>
      <c r="E127" s="72" t="s">
        <v>5</v>
      </c>
      <c r="F127" s="72"/>
      <c r="G127" s="72" t="s">
        <v>6</v>
      </c>
      <c r="H127" s="72" t="s">
        <v>10</v>
      </c>
      <c r="I127" s="72">
        <v>45429</v>
      </c>
      <c r="J127" s="72" t="s">
        <v>59</v>
      </c>
      <c r="K127" s="72">
        <v>123456</v>
      </c>
      <c r="L127" s="73">
        <v>1</v>
      </c>
      <c r="M127" s="73">
        <v>1</v>
      </c>
      <c r="N127" s="73">
        <v>1</v>
      </c>
      <c r="O127" s="74">
        <v>6.5</v>
      </c>
      <c r="P127" s="73">
        <v>26100005738</v>
      </c>
      <c r="Q127" s="72" t="s">
        <v>15</v>
      </c>
      <c r="R127" s="73" t="s">
        <v>7</v>
      </c>
      <c r="S127" s="73" t="s">
        <v>8</v>
      </c>
      <c r="T127" s="73"/>
      <c r="U127" s="73"/>
      <c r="V127" s="74"/>
      <c r="W127" s="73"/>
      <c r="X127" s="74"/>
      <c r="Y127" s="74"/>
      <c r="Z127" s="73"/>
      <c r="AA127" s="74"/>
      <c r="AB127" s="73"/>
      <c r="AC127" s="73"/>
      <c r="AD127" s="74"/>
      <c r="AE127" s="73"/>
      <c r="AF127" s="73" t="s">
        <v>119</v>
      </c>
      <c r="AG127" s="74">
        <v>0.25</v>
      </c>
      <c r="AH127" s="73"/>
      <c r="AI127" s="73"/>
      <c r="AJ127" s="75"/>
    </row>
    <row r="128" spans="1:37" s="2" customFormat="1" ht="12.75" x14ac:dyDescent="0.2">
      <c r="A128" s="567"/>
      <c r="B128" s="570"/>
      <c r="C128" s="524"/>
      <c r="D128" s="525"/>
      <c r="E128" s="525"/>
      <c r="F128" s="525"/>
      <c r="G128" s="525"/>
      <c r="H128" s="525"/>
      <c r="I128" s="525"/>
      <c r="J128" s="525"/>
      <c r="K128" s="525"/>
      <c r="L128" s="525"/>
      <c r="M128" s="525"/>
      <c r="N128" s="525"/>
      <c r="O128" s="525"/>
      <c r="P128" s="525"/>
      <c r="Q128" s="525"/>
      <c r="R128" s="525"/>
      <c r="S128" s="525"/>
      <c r="T128" s="525"/>
      <c r="U128" s="525"/>
      <c r="V128" s="525"/>
      <c r="W128" s="525"/>
      <c r="X128" s="525"/>
      <c r="Y128" s="525"/>
      <c r="Z128" s="525"/>
      <c r="AA128" s="525"/>
      <c r="AB128" s="525"/>
      <c r="AC128" s="525"/>
      <c r="AD128" s="525"/>
      <c r="AE128" s="525"/>
      <c r="AF128" s="525"/>
      <c r="AG128" s="525"/>
      <c r="AH128" s="525"/>
      <c r="AI128" s="525"/>
      <c r="AJ128" s="526"/>
      <c r="AK128" s="11"/>
    </row>
    <row r="129" spans="1:37" ht="15" x14ac:dyDescent="0.25">
      <c r="A129" s="567"/>
      <c r="B129" s="571"/>
      <c r="C129" s="123" t="s">
        <v>4</v>
      </c>
      <c r="D129" s="14">
        <v>1</v>
      </c>
      <c r="E129" s="14" t="s">
        <v>5</v>
      </c>
      <c r="F129" s="14"/>
      <c r="G129" s="14" t="s">
        <v>6</v>
      </c>
      <c r="H129" s="14" t="s">
        <v>10</v>
      </c>
      <c r="I129" s="14">
        <v>45429</v>
      </c>
      <c r="J129" s="14" t="s">
        <v>59</v>
      </c>
      <c r="K129" s="14">
        <v>123456</v>
      </c>
      <c r="L129" s="389">
        <v>1</v>
      </c>
      <c r="M129" s="389">
        <v>1</v>
      </c>
      <c r="N129" s="389">
        <v>1</v>
      </c>
      <c r="O129" s="28">
        <f>$O$12-(V129+AD129)</f>
        <v>6.2</v>
      </c>
      <c r="P129" s="389">
        <v>26100005738</v>
      </c>
      <c r="Q129" s="14" t="s">
        <v>15</v>
      </c>
      <c r="R129" s="389" t="s">
        <v>7</v>
      </c>
      <c r="S129" s="25" t="s">
        <v>13</v>
      </c>
      <c r="T129" s="25" t="s">
        <v>13</v>
      </c>
      <c r="U129" s="25">
        <v>2</v>
      </c>
      <c r="V129" s="28">
        <v>0.1</v>
      </c>
      <c r="W129" s="389"/>
      <c r="X129" s="26"/>
      <c r="Y129" s="26"/>
      <c r="Z129" s="393"/>
      <c r="AA129" s="150"/>
      <c r="AB129" s="25" t="s">
        <v>13</v>
      </c>
      <c r="AC129" s="25">
        <v>2</v>
      </c>
      <c r="AD129" s="28">
        <v>0.2</v>
      </c>
      <c r="AE129" s="389"/>
      <c r="AF129" s="59" t="s">
        <v>119</v>
      </c>
      <c r="AG129" s="207">
        <v>0.25</v>
      </c>
      <c r="AH129" s="28" t="s">
        <v>67</v>
      </c>
      <c r="AI129" s="389"/>
      <c r="AJ129" s="390"/>
    </row>
    <row r="130" spans="1:37" ht="15" x14ac:dyDescent="0.25">
      <c r="A130" s="567"/>
      <c r="B130" s="571"/>
      <c r="C130" s="123" t="s">
        <v>4</v>
      </c>
      <c r="D130" s="14">
        <v>1</v>
      </c>
      <c r="E130" s="14" t="s">
        <v>5</v>
      </c>
      <c r="F130" s="14"/>
      <c r="G130" s="14" t="s">
        <v>6</v>
      </c>
      <c r="H130" s="14" t="s">
        <v>10</v>
      </c>
      <c r="I130" s="14">
        <v>45429</v>
      </c>
      <c r="J130" s="14" t="s">
        <v>60</v>
      </c>
      <c r="K130" s="14">
        <v>123456</v>
      </c>
      <c r="L130" s="389">
        <v>2</v>
      </c>
      <c r="M130" s="389">
        <v>1</v>
      </c>
      <c r="N130" s="389">
        <v>1</v>
      </c>
      <c r="O130" s="28">
        <v>5.2</v>
      </c>
      <c r="P130" s="389">
        <v>26100005738</v>
      </c>
      <c r="Q130" s="14" t="s">
        <v>15</v>
      </c>
      <c r="R130" s="389" t="s">
        <v>7</v>
      </c>
      <c r="S130" s="25" t="s">
        <v>13</v>
      </c>
      <c r="T130" s="25" t="s">
        <v>13</v>
      </c>
      <c r="U130" s="25">
        <v>2</v>
      </c>
      <c r="V130" s="28">
        <v>0.1</v>
      </c>
      <c r="W130" s="389"/>
      <c r="X130" s="26"/>
      <c r="Y130" s="151"/>
      <c r="Z130" s="148">
        <v>526100210762</v>
      </c>
      <c r="AA130" s="148">
        <v>1</v>
      </c>
      <c r="AB130" s="152" t="s">
        <v>13</v>
      </c>
      <c r="AC130" s="25">
        <v>2</v>
      </c>
      <c r="AD130" s="28">
        <v>0.2</v>
      </c>
      <c r="AE130" s="389"/>
      <c r="AF130" s="59" t="s">
        <v>119</v>
      </c>
      <c r="AG130" s="207">
        <v>0.25</v>
      </c>
      <c r="AH130" s="28" t="s">
        <v>67</v>
      </c>
      <c r="AI130" s="389"/>
      <c r="AJ130" s="390"/>
    </row>
    <row r="131" spans="1:37" s="2" customFormat="1" ht="12.75" x14ac:dyDescent="0.2">
      <c r="A131" s="567"/>
      <c r="B131" s="571"/>
      <c r="C131" s="524"/>
      <c r="D131" s="525"/>
      <c r="E131" s="525"/>
      <c r="F131" s="525"/>
      <c r="G131" s="525"/>
      <c r="H131" s="525"/>
      <c r="I131" s="525"/>
      <c r="J131" s="525"/>
      <c r="K131" s="525"/>
      <c r="L131" s="525"/>
      <c r="M131" s="525"/>
      <c r="N131" s="525"/>
      <c r="O131" s="525"/>
      <c r="P131" s="525"/>
      <c r="Q131" s="525"/>
      <c r="R131" s="525"/>
      <c r="S131" s="525"/>
      <c r="T131" s="525"/>
      <c r="U131" s="525"/>
      <c r="V131" s="525"/>
      <c r="W131" s="525"/>
      <c r="X131" s="525"/>
      <c r="Y131" s="525"/>
      <c r="Z131" s="525"/>
      <c r="AA131" s="525"/>
      <c r="AB131" s="525"/>
      <c r="AC131" s="525"/>
      <c r="AD131" s="525"/>
      <c r="AE131" s="525"/>
      <c r="AF131" s="525"/>
      <c r="AG131" s="525"/>
      <c r="AH131" s="525"/>
      <c r="AI131" s="525"/>
      <c r="AJ131" s="526"/>
      <c r="AK131" s="11"/>
    </row>
    <row r="132" spans="1:37" ht="24.75" customHeight="1" thickBot="1" x14ac:dyDescent="0.3">
      <c r="A132" s="568"/>
      <c r="B132" s="551"/>
      <c r="C132" s="122" t="s">
        <v>4</v>
      </c>
      <c r="D132" s="91">
        <v>1</v>
      </c>
      <c r="E132" s="91" t="s">
        <v>5</v>
      </c>
      <c r="F132" s="91"/>
      <c r="G132" s="91" t="s">
        <v>6</v>
      </c>
      <c r="H132" s="91" t="s">
        <v>10</v>
      </c>
      <c r="I132" s="91">
        <v>45429</v>
      </c>
      <c r="J132" s="91" t="s">
        <v>59</v>
      </c>
      <c r="K132" s="91">
        <v>123456</v>
      </c>
      <c r="L132" s="88">
        <v>1</v>
      </c>
      <c r="M132" s="88">
        <v>1</v>
      </c>
      <c r="N132" s="88">
        <v>2</v>
      </c>
      <c r="O132" s="79">
        <v>5.7</v>
      </c>
      <c r="P132" s="88">
        <v>26100005738</v>
      </c>
      <c r="Q132" s="91" t="s">
        <v>15</v>
      </c>
      <c r="R132" s="88" t="s">
        <v>7</v>
      </c>
      <c r="S132" s="81" t="s">
        <v>13</v>
      </c>
      <c r="T132" s="81" t="s">
        <v>13</v>
      </c>
      <c r="U132" s="81">
        <v>2</v>
      </c>
      <c r="V132" s="79">
        <v>0.1</v>
      </c>
      <c r="W132" s="88"/>
      <c r="X132" s="89"/>
      <c r="Y132" s="89"/>
      <c r="Z132" s="79">
        <v>526100210762</v>
      </c>
      <c r="AA132" s="79">
        <v>0.5</v>
      </c>
      <c r="AB132" s="81" t="s">
        <v>13</v>
      </c>
      <c r="AC132" s="81">
        <v>2</v>
      </c>
      <c r="AD132" s="79">
        <v>0.2</v>
      </c>
      <c r="AE132" s="88"/>
      <c r="AF132" s="83" t="s">
        <v>119</v>
      </c>
      <c r="AG132" s="208">
        <v>0.25</v>
      </c>
      <c r="AH132" s="79" t="s">
        <v>67</v>
      </c>
      <c r="AI132" s="88"/>
      <c r="AJ132" s="90"/>
    </row>
    <row r="133" spans="1:37" s="211" customFormat="1" ht="13.5" customHeight="1" thickBot="1" x14ac:dyDescent="0.3">
      <c r="A133" s="245"/>
      <c r="B133" s="246"/>
      <c r="C133" s="412"/>
      <c r="D133" s="247"/>
      <c r="E133" s="247"/>
      <c r="F133" s="247"/>
      <c r="G133" s="247"/>
      <c r="H133" s="247"/>
      <c r="I133" s="247"/>
      <c r="J133" s="247"/>
      <c r="K133" s="247"/>
      <c r="L133" s="247"/>
      <c r="M133" s="247"/>
      <c r="N133" s="247"/>
      <c r="O133" s="247"/>
      <c r="P133" s="248"/>
      <c r="Q133" s="249"/>
      <c r="R133" s="247"/>
      <c r="S133" s="247"/>
      <c r="T133" s="247"/>
      <c r="U133" s="247"/>
      <c r="V133" s="247"/>
      <c r="W133" s="248"/>
      <c r="X133" s="247"/>
      <c r="Y133" s="248"/>
      <c r="Z133" s="248"/>
      <c r="AA133" s="247"/>
      <c r="AB133" s="248"/>
      <c r="AC133" s="247"/>
      <c r="AD133" s="247"/>
      <c r="AE133" s="248"/>
      <c r="AF133" s="247"/>
      <c r="AG133" s="247"/>
      <c r="AH133" s="248"/>
      <c r="AI133" s="247"/>
      <c r="AJ133" s="413"/>
      <c r="AK133" s="404"/>
    </row>
    <row r="134" spans="1:37" ht="14.25" customHeight="1" x14ac:dyDescent="0.25">
      <c r="A134" s="566">
        <v>27</v>
      </c>
      <c r="B134" s="569" t="s">
        <v>124</v>
      </c>
      <c r="C134" s="98" t="s">
        <v>4</v>
      </c>
      <c r="D134" s="72">
        <v>1</v>
      </c>
      <c r="E134" s="72" t="s">
        <v>5</v>
      </c>
      <c r="F134" s="72"/>
      <c r="G134" s="72" t="s">
        <v>6</v>
      </c>
      <c r="H134" s="72" t="s">
        <v>10</v>
      </c>
      <c r="I134" s="72">
        <v>45429</v>
      </c>
      <c r="J134" s="72" t="s">
        <v>59</v>
      </c>
      <c r="K134" s="72">
        <v>123456</v>
      </c>
      <c r="L134" s="73">
        <v>1</v>
      </c>
      <c r="M134" s="73">
        <v>1</v>
      </c>
      <c r="N134" s="73">
        <v>1</v>
      </c>
      <c r="O134" s="74">
        <v>5.75</v>
      </c>
      <c r="P134" s="118">
        <v>12300000949</v>
      </c>
      <c r="Q134" s="119" t="s">
        <v>17</v>
      </c>
      <c r="R134" s="73" t="s">
        <v>7</v>
      </c>
      <c r="S134" s="73" t="s">
        <v>8</v>
      </c>
      <c r="T134" s="73"/>
      <c r="U134" s="73"/>
      <c r="V134" s="74"/>
      <c r="W134" s="73"/>
      <c r="X134" s="74"/>
      <c r="Y134" s="74"/>
      <c r="Z134" s="73"/>
      <c r="AA134" s="74"/>
      <c r="AB134" s="73"/>
      <c r="AC134" s="73"/>
      <c r="AD134" s="74"/>
      <c r="AE134" s="73"/>
      <c r="AF134" s="73" t="s">
        <v>119</v>
      </c>
      <c r="AG134" s="74">
        <v>0.5</v>
      </c>
      <c r="AH134" s="73"/>
      <c r="AI134" s="73"/>
      <c r="AJ134" s="75"/>
    </row>
    <row r="135" spans="1:37" s="2" customFormat="1" ht="12.75" x14ac:dyDescent="0.2">
      <c r="A135" s="567"/>
      <c r="B135" s="570"/>
      <c r="C135" s="524"/>
      <c r="D135" s="525"/>
      <c r="E135" s="525"/>
      <c r="F135" s="525"/>
      <c r="G135" s="525"/>
      <c r="H135" s="525"/>
      <c r="I135" s="525"/>
      <c r="J135" s="525"/>
      <c r="K135" s="525"/>
      <c r="L135" s="525"/>
      <c r="M135" s="525"/>
      <c r="N135" s="525"/>
      <c r="O135" s="525"/>
      <c r="P135" s="525"/>
      <c r="Q135" s="525"/>
      <c r="R135" s="525"/>
      <c r="S135" s="525"/>
      <c r="T135" s="525"/>
      <c r="U135" s="525"/>
      <c r="V135" s="525"/>
      <c r="W135" s="525"/>
      <c r="X135" s="525"/>
      <c r="Y135" s="525"/>
      <c r="Z135" s="525"/>
      <c r="AA135" s="525"/>
      <c r="AB135" s="525"/>
      <c r="AC135" s="525"/>
      <c r="AD135" s="525"/>
      <c r="AE135" s="525"/>
      <c r="AF135" s="525"/>
      <c r="AG135" s="525"/>
      <c r="AH135" s="525"/>
      <c r="AI135" s="525"/>
      <c r="AJ135" s="526"/>
      <c r="AK135" s="11"/>
    </row>
    <row r="136" spans="1:37" ht="15" x14ac:dyDescent="0.25">
      <c r="A136" s="567"/>
      <c r="B136" s="571"/>
      <c r="C136" s="123" t="s">
        <v>4</v>
      </c>
      <c r="D136" s="14">
        <v>1</v>
      </c>
      <c r="E136" s="14" t="s">
        <v>5</v>
      </c>
      <c r="F136" s="14"/>
      <c r="G136" s="14" t="s">
        <v>6</v>
      </c>
      <c r="H136" s="14" t="s">
        <v>10</v>
      </c>
      <c r="I136" s="14">
        <v>45429</v>
      </c>
      <c r="J136" s="14" t="s">
        <v>59</v>
      </c>
      <c r="K136" s="14">
        <v>123456</v>
      </c>
      <c r="L136" s="389">
        <v>1</v>
      </c>
      <c r="M136" s="389">
        <v>1</v>
      </c>
      <c r="N136" s="389">
        <v>1</v>
      </c>
      <c r="O136" s="28">
        <v>4.8</v>
      </c>
      <c r="P136" s="389">
        <v>12300502603</v>
      </c>
      <c r="Q136" s="180" t="s">
        <v>12</v>
      </c>
      <c r="R136" s="389" t="s">
        <v>7</v>
      </c>
      <c r="S136" s="25" t="s">
        <v>13</v>
      </c>
      <c r="T136" s="19"/>
      <c r="U136" s="19"/>
      <c r="V136" s="27"/>
      <c r="W136" s="389"/>
      <c r="X136" s="26"/>
      <c r="Y136" s="28">
        <v>0.75</v>
      </c>
      <c r="Z136" s="150"/>
      <c r="AA136" s="150"/>
      <c r="AB136" s="25" t="s">
        <v>13</v>
      </c>
      <c r="AC136" s="25">
        <v>2</v>
      </c>
      <c r="AD136" s="28">
        <v>0.2</v>
      </c>
      <c r="AE136" s="25" t="s">
        <v>14</v>
      </c>
      <c r="AF136" s="59" t="s">
        <v>119</v>
      </c>
      <c r="AG136" s="207">
        <v>0.5</v>
      </c>
      <c r="AH136" s="28" t="s">
        <v>67</v>
      </c>
      <c r="AI136" s="389"/>
      <c r="AJ136" s="390"/>
    </row>
    <row r="137" spans="1:37" ht="15" x14ac:dyDescent="0.25">
      <c r="A137" s="567"/>
      <c r="B137" s="571"/>
      <c r="C137" s="123" t="s">
        <v>4</v>
      </c>
      <c r="D137" s="14">
        <v>1</v>
      </c>
      <c r="E137" s="14" t="s">
        <v>5</v>
      </c>
      <c r="F137" s="14"/>
      <c r="G137" s="14" t="s">
        <v>6</v>
      </c>
      <c r="H137" s="14" t="s">
        <v>10</v>
      </c>
      <c r="I137" s="14">
        <v>45429</v>
      </c>
      <c r="J137" s="14" t="s">
        <v>60</v>
      </c>
      <c r="K137" s="14">
        <v>123456</v>
      </c>
      <c r="L137" s="389">
        <v>2</v>
      </c>
      <c r="M137" s="389">
        <v>1</v>
      </c>
      <c r="N137" s="389">
        <v>1</v>
      </c>
      <c r="O137" s="28">
        <v>4.8</v>
      </c>
      <c r="P137" s="389">
        <v>12300502603</v>
      </c>
      <c r="Q137" s="180" t="s">
        <v>12</v>
      </c>
      <c r="R137" s="389" t="s">
        <v>7</v>
      </c>
      <c r="S137" s="25" t="s">
        <v>13</v>
      </c>
      <c r="T137" s="19"/>
      <c r="U137" s="19"/>
      <c r="V137" s="27"/>
      <c r="W137" s="389"/>
      <c r="X137" s="26"/>
      <c r="Y137" s="28">
        <v>0.75</v>
      </c>
      <c r="Z137" s="150"/>
      <c r="AA137" s="150"/>
      <c r="AB137" s="152" t="s">
        <v>13</v>
      </c>
      <c r="AC137" s="25">
        <v>2</v>
      </c>
      <c r="AD137" s="28">
        <v>0.2</v>
      </c>
      <c r="AE137" s="25" t="s">
        <v>14</v>
      </c>
      <c r="AF137" s="59" t="s">
        <v>119</v>
      </c>
      <c r="AG137" s="207">
        <v>0.5</v>
      </c>
      <c r="AH137" s="28" t="s">
        <v>67</v>
      </c>
      <c r="AI137" s="389"/>
      <c r="AJ137" s="390"/>
    </row>
    <row r="138" spans="1:37" s="2" customFormat="1" ht="12.75" x14ac:dyDescent="0.2">
      <c r="A138" s="567"/>
      <c r="B138" s="571"/>
      <c r="C138" s="524"/>
      <c r="D138" s="525"/>
      <c r="E138" s="525"/>
      <c r="F138" s="525"/>
      <c r="G138" s="525"/>
      <c r="H138" s="525"/>
      <c r="I138" s="525"/>
      <c r="J138" s="525"/>
      <c r="K138" s="525"/>
      <c r="L138" s="525"/>
      <c r="M138" s="525"/>
      <c r="N138" s="525"/>
      <c r="O138" s="525"/>
      <c r="P138" s="525"/>
      <c r="Q138" s="525"/>
      <c r="R138" s="525"/>
      <c r="S138" s="525"/>
      <c r="T138" s="525"/>
      <c r="U138" s="525"/>
      <c r="V138" s="525"/>
      <c r="W138" s="525"/>
      <c r="X138" s="525"/>
      <c r="Y138" s="525"/>
      <c r="Z138" s="525"/>
      <c r="AA138" s="525"/>
      <c r="AB138" s="525"/>
      <c r="AC138" s="525"/>
      <c r="AD138" s="525"/>
      <c r="AE138" s="525"/>
      <c r="AF138" s="525"/>
      <c r="AG138" s="525"/>
      <c r="AH138" s="525"/>
      <c r="AI138" s="525"/>
      <c r="AJ138" s="526"/>
      <c r="AK138" s="11"/>
    </row>
    <row r="139" spans="1:37" ht="15" x14ac:dyDescent="0.25">
      <c r="A139" s="567"/>
      <c r="B139" s="602"/>
      <c r="C139" s="123" t="s">
        <v>4</v>
      </c>
      <c r="D139" s="14">
        <v>1</v>
      </c>
      <c r="E139" s="14" t="s">
        <v>5</v>
      </c>
      <c r="F139" s="14"/>
      <c r="G139" s="14" t="s">
        <v>6</v>
      </c>
      <c r="H139" s="14" t="s">
        <v>10</v>
      </c>
      <c r="I139" s="14">
        <v>45429</v>
      </c>
      <c r="J139" s="14" t="s">
        <v>59</v>
      </c>
      <c r="K139" s="14">
        <v>123456</v>
      </c>
      <c r="L139" s="389">
        <v>1</v>
      </c>
      <c r="M139" s="389">
        <v>1</v>
      </c>
      <c r="N139" s="389">
        <v>2</v>
      </c>
      <c r="O139" s="28">
        <v>4.8</v>
      </c>
      <c r="P139" s="389">
        <v>12300502603</v>
      </c>
      <c r="Q139" s="180" t="s">
        <v>12</v>
      </c>
      <c r="R139" s="389" t="s">
        <v>7</v>
      </c>
      <c r="S139" s="25" t="s">
        <v>13</v>
      </c>
      <c r="T139" s="19"/>
      <c r="U139" s="19"/>
      <c r="V139" s="27"/>
      <c r="W139" s="389"/>
      <c r="X139" s="26"/>
      <c r="Y139" s="28">
        <v>0.75</v>
      </c>
      <c r="Z139" s="150"/>
      <c r="AA139" s="150"/>
      <c r="AB139" s="25" t="s">
        <v>13</v>
      </c>
      <c r="AC139" s="25">
        <v>2</v>
      </c>
      <c r="AD139" s="28">
        <v>0.2</v>
      </c>
      <c r="AE139" s="25" t="s">
        <v>14</v>
      </c>
      <c r="AF139" s="59" t="s">
        <v>119</v>
      </c>
      <c r="AG139" s="207">
        <v>0.5</v>
      </c>
      <c r="AH139" s="28" t="s">
        <v>67</v>
      </c>
      <c r="AI139" s="389"/>
      <c r="AJ139" s="390"/>
    </row>
    <row r="140" spans="1:37" s="2" customFormat="1" ht="12.75" x14ac:dyDescent="0.2">
      <c r="A140" s="567"/>
      <c r="B140" s="602"/>
      <c r="C140" s="524"/>
      <c r="D140" s="525"/>
      <c r="E140" s="525"/>
      <c r="F140" s="525"/>
      <c r="G140" s="525"/>
      <c r="H140" s="525"/>
      <c r="I140" s="525"/>
      <c r="J140" s="525"/>
      <c r="K140" s="525"/>
      <c r="L140" s="525"/>
      <c r="M140" s="525"/>
      <c r="N140" s="525"/>
      <c r="O140" s="525"/>
      <c r="P140" s="525"/>
      <c r="Q140" s="525"/>
      <c r="R140" s="525"/>
      <c r="S140" s="525"/>
      <c r="T140" s="525"/>
      <c r="U140" s="525"/>
      <c r="V140" s="525"/>
      <c r="W140" s="525"/>
      <c r="X140" s="525"/>
      <c r="Y140" s="525"/>
      <c r="Z140" s="525"/>
      <c r="AA140" s="525"/>
      <c r="AB140" s="525"/>
      <c r="AC140" s="525"/>
      <c r="AD140" s="525"/>
      <c r="AE140" s="525"/>
      <c r="AF140" s="525"/>
      <c r="AG140" s="525"/>
      <c r="AH140" s="525"/>
      <c r="AI140" s="525"/>
      <c r="AJ140" s="526"/>
      <c r="AK140" s="11"/>
    </row>
    <row r="141" spans="1:37" ht="15" x14ac:dyDescent="0.25">
      <c r="A141" s="567"/>
      <c r="B141" s="602"/>
      <c r="C141" s="123" t="s">
        <v>4</v>
      </c>
      <c r="D141" s="14">
        <v>1</v>
      </c>
      <c r="E141" s="14" t="s">
        <v>5</v>
      </c>
      <c r="F141" s="14"/>
      <c r="G141" s="14" t="s">
        <v>6</v>
      </c>
      <c r="H141" s="14" t="s">
        <v>10</v>
      </c>
      <c r="I141" s="14">
        <v>45429</v>
      </c>
      <c r="J141" s="14" t="s">
        <v>59</v>
      </c>
      <c r="K141" s="14">
        <v>123456</v>
      </c>
      <c r="L141" s="389">
        <v>1</v>
      </c>
      <c r="M141" s="389">
        <v>1</v>
      </c>
      <c r="N141" s="389">
        <v>1</v>
      </c>
      <c r="O141" s="28">
        <v>5.55</v>
      </c>
      <c r="P141" s="389">
        <v>12300000949</v>
      </c>
      <c r="Q141" s="180" t="s">
        <v>17</v>
      </c>
      <c r="R141" s="389" t="s">
        <v>7</v>
      </c>
      <c r="S141" s="25" t="s">
        <v>13</v>
      </c>
      <c r="T141" s="19"/>
      <c r="U141" s="19"/>
      <c r="V141" s="27"/>
      <c r="W141" s="389"/>
      <c r="X141" s="26"/>
      <c r="Y141" s="27"/>
      <c r="Z141" s="150"/>
      <c r="AA141" s="150"/>
      <c r="AB141" s="152" t="s">
        <v>13</v>
      </c>
      <c r="AC141" s="25">
        <v>2</v>
      </c>
      <c r="AD141" s="28">
        <v>0.2</v>
      </c>
      <c r="AE141" s="389"/>
      <c r="AF141" s="59" t="s">
        <v>119</v>
      </c>
      <c r="AG141" s="207">
        <v>0.5</v>
      </c>
      <c r="AH141" s="28" t="s">
        <v>67</v>
      </c>
      <c r="AI141" s="389"/>
      <c r="AJ141" s="390"/>
    </row>
    <row r="142" spans="1:37" ht="15.75" thickBot="1" x14ac:dyDescent="0.3">
      <c r="A142" s="568"/>
      <c r="B142" s="551"/>
      <c r="C142" s="122" t="s">
        <v>4</v>
      </c>
      <c r="D142" s="91">
        <v>1</v>
      </c>
      <c r="E142" s="91" t="s">
        <v>5</v>
      </c>
      <c r="F142" s="91"/>
      <c r="G142" s="91" t="s">
        <v>6</v>
      </c>
      <c r="H142" s="91" t="s">
        <v>10</v>
      </c>
      <c r="I142" s="91">
        <v>45429</v>
      </c>
      <c r="J142" s="91" t="s">
        <v>60</v>
      </c>
      <c r="K142" s="91">
        <v>123456</v>
      </c>
      <c r="L142" s="88">
        <v>2</v>
      </c>
      <c r="M142" s="88">
        <v>1</v>
      </c>
      <c r="N142" s="88">
        <v>1</v>
      </c>
      <c r="O142" s="79">
        <v>4.8</v>
      </c>
      <c r="P142" s="88">
        <v>12300502603</v>
      </c>
      <c r="Q142" s="206" t="s">
        <v>12</v>
      </c>
      <c r="R142" s="88" t="s">
        <v>7</v>
      </c>
      <c r="S142" s="81" t="s">
        <v>13</v>
      </c>
      <c r="T142" s="78"/>
      <c r="U142" s="78"/>
      <c r="V142" s="82"/>
      <c r="W142" s="88"/>
      <c r="X142" s="89"/>
      <c r="Y142" s="79">
        <v>0.75</v>
      </c>
      <c r="Z142" s="89"/>
      <c r="AA142" s="89"/>
      <c r="AB142" s="177" t="s">
        <v>13</v>
      </c>
      <c r="AC142" s="81">
        <v>2</v>
      </c>
      <c r="AD142" s="79">
        <v>0.2</v>
      </c>
      <c r="AE142" s="81" t="s">
        <v>14</v>
      </c>
      <c r="AF142" s="83" t="s">
        <v>119</v>
      </c>
      <c r="AG142" s="208">
        <v>0.5</v>
      </c>
      <c r="AH142" s="79" t="s">
        <v>67</v>
      </c>
      <c r="AI142" s="88"/>
      <c r="AJ142" s="90"/>
    </row>
    <row r="143" spans="1:37" s="211" customFormat="1" ht="13.5" customHeight="1" thickBot="1" x14ac:dyDescent="0.3">
      <c r="A143" s="245"/>
      <c r="B143" s="246"/>
      <c r="C143" s="412"/>
      <c r="D143" s="247"/>
      <c r="E143" s="247"/>
      <c r="F143" s="247"/>
      <c r="G143" s="247"/>
      <c r="H143" s="247"/>
      <c r="I143" s="247"/>
      <c r="J143" s="247"/>
      <c r="K143" s="247"/>
      <c r="L143" s="247"/>
      <c r="M143" s="247"/>
      <c r="N143" s="247"/>
      <c r="O143" s="247"/>
      <c r="P143" s="248"/>
      <c r="Q143" s="249"/>
      <c r="R143" s="247"/>
      <c r="S143" s="247"/>
      <c r="T143" s="247"/>
      <c r="U143" s="247"/>
      <c r="V143" s="247"/>
      <c r="W143" s="248"/>
      <c r="X143" s="247"/>
      <c r="Y143" s="248"/>
      <c r="Z143" s="248"/>
      <c r="AA143" s="247"/>
      <c r="AB143" s="248"/>
      <c r="AC143" s="247"/>
      <c r="AD143" s="247"/>
      <c r="AE143" s="248"/>
      <c r="AF143" s="247"/>
      <c r="AG143" s="247"/>
      <c r="AH143" s="248"/>
      <c r="AI143" s="247"/>
      <c r="AJ143" s="413"/>
      <c r="AK143" s="404"/>
    </row>
    <row r="144" spans="1:37" ht="14.25" customHeight="1" x14ac:dyDescent="0.25">
      <c r="A144" s="566">
        <v>28</v>
      </c>
      <c r="B144" s="569" t="s">
        <v>125</v>
      </c>
      <c r="C144" s="98" t="s">
        <v>4</v>
      </c>
      <c r="D144" s="72">
        <v>1</v>
      </c>
      <c r="E144" s="72" t="s">
        <v>5</v>
      </c>
      <c r="F144" s="72"/>
      <c r="G144" s="72" t="s">
        <v>6</v>
      </c>
      <c r="H144" s="72" t="s">
        <v>10</v>
      </c>
      <c r="I144" s="72">
        <v>45429</v>
      </c>
      <c r="J144" s="72" t="s">
        <v>59</v>
      </c>
      <c r="K144" s="72">
        <v>123456</v>
      </c>
      <c r="L144" s="73">
        <v>1</v>
      </c>
      <c r="M144" s="73">
        <v>1</v>
      </c>
      <c r="N144" s="73">
        <v>1</v>
      </c>
      <c r="O144" s="74">
        <v>5.75</v>
      </c>
      <c r="P144" s="118">
        <v>12300000949</v>
      </c>
      <c r="Q144" s="119" t="s">
        <v>17</v>
      </c>
      <c r="R144" s="73" t="s">
        <v>7</v>
      </c>
      <c r="S144" s="73" t="s">
        <v>8</v>
      </c>
      <c r="T144" s="73"/>
      <c r="U144" s="73"/>
      <c r="V144" s="74"/>
      <c r="W144" s="73"/>
      <c r="X144" s="74"/>
      <c r="Y144" s="74"/>
      <c r="Z144" s="73"/>
      <c r="AA144" s="74"/>
      <c r="AB144" s="73"/>
      <c r="AC144" s="73"/>
      <c r="AD144" s="74"/>
      <c r="AE144" s="73"/>
      <c r="AF144" s="73" t="s">
        <v>119</v>
      </c>
      <c r="AG144" s="74">
        <v>0.5</v>
      </c>
      <c r="AH144" s="73"/>
      <c r="AI144" s="73"/>
      <c r="AJ144" s="75"/>
    </row>
    <row r="145" spans="1:37" s="2" customFormat="1" ht="12.75" x14ac:dyDescent="0.2">
      <c r="A145" s="567"/>
      <c r="B145" s="601"/>
      <c r="C145" s="99" t="s">
        <v>4</v>
      </c>
      <c r="D145" s="18">
        <v>1</v>
      </c>
      <c r="E145" s="18" t="s">
        <v>5</v>
      </c>
      <c r="F145" s="18"/>
      <c r="G145" s="18" t="s">
        <v>6</v>
      </c>
      <c r="H145" s="18" t="s">
        <v>10</v>
      </c>
      <c r="I145" s="18">
        <v>45429</v>
      </c>
      <c r="J145" s="29" t="s">
        <v>59</v>
      </c>
      <c r="K145" s="29">
        <v>123456</v>
      </c>
      <c r="L145" s="29">
        <v>1</v>
      </c>
      <c r="M145" s="29">
        <v>1</v>
      </c>
      <c r="N145" s="29">
        <v>1</v>
      </c>
      <c r="O145" s="30">
        <v>57.5</v>
      </c>
      <c r="P145" s="45">
        <v>12300194136</v>
      </c>
      <c r="Q145" s="48" t="s">
        <v>17</v>
      </c>
      <c r="R145" s="29" t="s">
        <v>9</v>
      </c>
      <c r="S145" s="29" t="s">
        <v>8</v>
      </c>
      <c r="T145" s="29"/>
      <c r="U145" s="29"/>
      <c r="V145" s="30"/>
      <c r="W145" s="29"/>
      <c r="X145" s="30"/>
      <c r="Y145" s="30"/>
      <c r="Z145" s="29"/>
      <c r="AA145" s="30"/>
      <c r="AB145" s="29"/>
      <c r="AC145" s="29"/>
      <c r="AD145" s="30"/>
      <c r="AE145" s="29"/>
      <c r="AF145" s="29" t="s">
        <v>119</v>
      </c>
      <c r="AG145" s="30">
        <v>5</v>
      </c>
      <c r="AH145" s="29"/>
      <c r="AI145" s="29"/>
      <c r="AJ145" s="76"/>
      <c r="AK145" s="11"/>
    </row>
    <row r="146" spans="1:37" s="2" customFormat="1" ht="12.75" x14ac:dyDescent="0.2">
      <c r="A146" s="567"/>
      <c r="B146" s="570"/>
      <c r="C146" s="524"/>
      <c r="D146" s="525"/>
      <c r="E146" s="525"/>
      <c r="F146" s="525"/>
      <c r="G146" s="525"/>
      <c r="H146" s="525"/>
      <c r="I146" s="525"/>
      <c r="J146" s="525"/>
      <c r="K146" s="525"/>
      <c r="L146" s="525"/>
      <c r="M146" s="525"/>
      <c r="N146" s="525"/>
      <c r="O146" s="525"/>
      <c r="P146" s="525"/>
      <c r="Q146" s="525"/>
      <c r="R146" s="525"/>
      <c r="S146" s="525"/>
      <c r="T146" s="525"/>
      <c r="U146" s="525"/>
      <c r="V146" s="525"/>
      <c r="W146" s="525"/>
      <c r="X146" s="525"/>
      <c r="Y146" s="525"/>
      <c r="Z146" s="525"/>
      <c r="AA146" s="525"/>
      <c r="AB146" s="525"/>
      <c r="AC146" s="525"/>
      <c r="AD146" s="525"/>
      <c r="AE146" s="525"/>
      <c r="AF146" s="525"/>
      <c r="AG146" s="525"/>
      <c r="AH146" s="525"/>
      <c r="AI146" s="525"/>
      <c r="AJ146" s="526"/>
      <c r="AK146" s="11"/>
    </row>
    <row r="147" spans="1:37" ht="15" x14ac:dyDescent="0.25">
      <c r="A147" s="567"/>
      <c r="B147" s="571"/>
      <c r="C147" s="123" t="s">
        <v>4</v>
      </c>
      <c r="D147" s="14">
        <v>1</v>
      </c>
      <c r="E147" s="14" t="s">
        <v>5</v>
      </c>
      <c r="F147" s="14"/>
      <c r="G147" s="14" t="s">
        <v>6</v>
      </c>
      <c r="H147" s="14" t="s">
        <v>10</v>
      </c>
      <c r="I147" s="14">
        <v>45429</v>
      </c>
      <c r="J147" s="14" t="s">
        <v>59</v>
      </c>
      <c r="K147" s="14">
        <v>123456</v>
      </c>
      <c r="L147" s="389">
        <v>1</v>
      </c>
      <c r="M147" s="389">
        <v>1</v>
      </c>
      <c r="N147" s="389">
        <v>1</v>
      </c>
      <c r="O147" s="28">
        <v>4.7</v>
      </c>
      <c r="P147" s="389">
        <v>12300502603</v>
      </c>
      <c r="Q147" s="180" t="s">
        <v>12</v>
      </c>
      <c r="R147" s="389" t="s">
        <v>7</v>
      </c>
      <c r="S147" s="25" t="s">
        <v>13</v>
      </c>
      <c r="T147" s="25" t="s">
        <v>13</v>
      </c>
      <c r="U147" s="25">
        <v>2</v>
      </c>
      <c r="V147" s="28">
        <v>0.1</v>
      </c>
      <c r="W147" s="389"/>
      <c r="X147" s="26"/>
      <c r="Y147" s="28">
        <v>0.75</v>
      </c>
      <c r="Z147" s="150"/>
      <c r="AA147" s="150"/>
      <c r="AB147" s="25" t="s">
        <v>13</v>
      </c>
      <c r="AC147" s="25">
        <v>2</v>
      </c>
      <c r="AD147" s="28">
        <v>0.2</v>
      </c>
      <c r="AE147" s="25" t="s">
        <v>14</v>
      </c>
      <c r="AF147" s="59" t="s">
        <v>119</v>
      </c>
      <c r="AG147" s="207">
        <v>0.5</v>
      </c>
      <c r="AH147" s="28" t="s">
        <v>67</v>
      </c>
      <c r="AI147" s="389"/>
      <c r="AJ147" s="390"/>
    </row>
    <row r="148" spans="1:37" ht="15" x14ac:dyDescent="0.25">
      <c r="A148" s="567"/>
      <c r="B148" s="571"/>
      <c r="C148" s="123" t="s">
        <v>4</v>
      </c>
      <c r="D148" s="14">
        <v>1</v>
      </c>
      <c r="E148" s="14" t="s">
        <v>5</v>
      </c>
      <c r="F148" s="14"/>
      <c r="G148" s="14" t="s">
        <v>6</v>
      </c>
      <c r="H148" s="14" t="s">
        <v>10</v>
      </c>
      <c r="I148" s="14">
        <v>45429</v>
      </c>
      <c r="J148" s="14" t="s">
        <v>60</v>
      </c>
      <c r="K148" s="14">
        <v>123456</v>
      </c>
      <c r="L148" s="389">
        <v>2</v>
      </c>
      <c r="M148" s="389">
        <v>1</v>
      </c>
      <c r="N148" s="389">
        <v>1</v>
      </c>
      <c r="O148" s="28">
        <v>4.7</v>
      </c>
      <c r="P148" s="389">
        <v>12300502603</v>
      </c>
      <c r="Q148" s="180" t="s">
        <v>12</v>
      </c>
      <c r="R148" s="389" t="s">
        <v>7</v>
      </c>
      <c r="S148" s="25" t="s">
        <v>13</v>
      </c>
      <c r="T148" s="25" t="s">
        <v>13</v>
      </c>
      <c r="U148" s="25">
        <v>2</v>
      </c>
      <c r="V148" s="28">
        <v>0.1</v>
      </c>
      <c r="W148" s="389"/>
      <c r="X148" s="26"/>
      <c r="Y148" s="28">
        <v>0.75</v>
      </c>
      <c r="Z148" s="150"/>
      <c r="AA148" s="150"/>
      <c r="AB148" s="152" t="s">
        <v>13</v>
      </c>
      <c r="AC148" s="25">
        <v>2</v>
      </c>
      <c r="AD148" s="28">
        <v>0.2</v>
      </c>
      <c r="AE148" s="25" t="s">
        <v>14</v>
      </c>
      <c r="AF148" s="59" t="s">
        <v>119</v>
      </c>
      <c r="AG148" s="207">
        <v>0.5</v>
      </c>
      <c r="AH148" s="28" t="s">
        <v>67</v>
      </c>
      <c r="AI148" s="389"/>
      <c r="AJ148" s="390"/>
    </row>
    <row r="149" spans="1:37" s="2" customFormat="1" ht="12.75" x14ac:dyDescent="0.2">
      <c r="A149" s="567"/>
      <c r="B149" s="571"/>
      <c r="C149" s="524"/>
      <c r="D149" s="525"/>
      <c r="E149" s="525"/>
      <c r="F149" s="525"/>
      <c r="G149" s="525"/>
      <c r="H149" s="525"/>
      <c r="I149" s="525"/>
      <c r="J149" s="525"/>
      <c r="K149" s="525"/>
      <c r="L149" s="525"/>
      <c r="M149" s="525"/>
      <c r="N149" s="525"/>
      <c r="O149" s="525"/>
      <c r="P149" s="525"/>
      <c r="Q149" s="525"/>
      <c r="R149" s="525"/>
      <c r="S149" s="525"/>
      <c r="T149" s="525"/>
      <c r="U149" s="525"/>
      <c r="V149" s="525"/>
      <c r="W149" s="525"/>
      <c r="X149" s="525"/>
      <c r="Y149" s="525"/>
      <c r="Z149" s="525"/>
      <c r="AA149" s="525"/>
      <c r="AB149" s="525"/>
      <c r="AC149" s="525"/>
      <c r="AD149" s="525"/>
      <c r="AE149" s="525"/>
      <c r="AF149" s="525"/>
      <c r="AG149" s="525"/>
      <c r="AH149" s="525"/>
      <c r="AI149" s="525"/>
      <c r="AJ149" s="526"/>
      <c r="AK149" s="11"/>
    </row>
    <row r="150" spans="1:37" ht="15" x14ac:dyDescent="0.25">
      <c r="A150" s="567"/>
      <c r="B150" s="602"/>
      <c r="C150" s="123" t="s">
        <v>4</v>
      </c>
      <c r="D150" s="14">
        <v>1</v>
      </c>
      <c r="E150" s="14" t="s">
        <v>5</v>
      </c>
      <c r="F150" s="14"/>
      <c r="G150" s="14" t="s">
        <v>6</v>
      </c>
      <c r="H150" s="14" t="s">
        <v>10</v>
      </c>
      <c r="I150" s="14">
        <v>45429</v>
      </c>
      <c r="J150" s="14" t="s">
        <v>59</v>
      </c>
      <c r="K150" s="14">
        <v>123456</v>
      </c>
      <c r="L150" s="389">
        <v>1</v>
      </c>
      <c r="M150" s="389">
        <v>1</v>
      </c>
      <c r="N150" s="389">
        <v>2</v>
      </c>
      <c r="O150" s="28">
        <v>4.7</v>
      </c>
      <c r="P150" s="389">
        <v>12300502603</v>
      </c>
      <c r="Q150" s="180" t="s">
        <v>12</v>
      </c>
      <c r="R150" s="389" t="s">
        <v>7</v>
      </c>
      <c r="S150" s="25" t="s">
        <v>13</v>
      </c>
      <c r="T150" s="25" t="s">
        <v>13</v>
      </c>
      <c r="U150" s="25">
        <v>2</v>
      </c>
      <c r="V150" s="28">
        <v>0.1</v>
      </c>
      <c r="W150" s="389"/>
      <c r="X150" s="26"/>
      <c r="Y150" s="28">
        <v>0.75</v>
      </c>
      <c r="Z150" s="150"/>
      <c r="AA150" s="150"/>
      <c r="AB150" s="25" t="s">
        <v>13</v>
      </c>
      <c r="AC150" s="25">
        <v>2</v>
      </c>
      <c r="AD150" s="28">
        <v>0.2</v>
      </c>
      <c r="AE150" s="25" t="s">
        <v>14</v>
      </c>
      <c r="AF150" s="59" t="s">
        <v>119</v>
      </c>
      <c r="AG150" s="207">
        <v>0.5</v>
      </c>
      <c r="AH150" s="28" t="s">
        <v>67</v>
      </c>
      <c r="AI150" s="389"/>
      <c r="AJ150" s="390"/>
    </row>
    <row r="151" spans="1:37" s="2" customFormat="1" ht="12.75" x14ac:dyDescent="0.2">
      <c r="A151" s="567"/>
      <c r="B151" s="602"/>
      <c r="C151" s="524"/>
      <c r="D151" s="525"/>
      <c r="E151" s="525"/>
      <c r="F151" s="525"/>
      <c r="G151" s="525"/>
      <c r="H151" s="525"/>
      <c r="I151" s="525"/>
      <c r="J151" s="525"/>
      <c r="K151" s="525"/>
      <c r="L151" s="525"/>
      <c r="M151" s="525"/>
      <c r="N151" s="525"/>
      <c r="O151" s="525"/>
      <c r="P151" s="525"/>
      <c r="Q151" s="525"/>
      <c r="R151" s="525"/>
      <c r="S151" s="525"/>
      <c r="T151" s="525"/>
      <c r="U151" s="525"/>
      <c r="V151" s="525"/>
      <c r="W151" s="525"/>
      <c r="X151" s="525"/>
      <c r="Y151" s="525"/>
      <c r="Z151" s="525"/>
      <c r="AA151" s="525"/>
      <c r="AB151" s="525"/>
      <c r="AC151" s="525"/>
      <c r="AD151" s="525"/>
      <c r="AE151" s="525"/>
      <c r="AF151" s="525"/>
      <c r="AG151" s="525"/>
      <c r="AH151" s="525"/>
      <c r="AI151" s="525"/>
      <c r="AJ151" s="526"/>
      <c r="AK151" s="11"/>
    </row>
    <row r="152" spans="1:37" ht="15" x14ac:dyDescent="0.25">
      <c r="A152" s="567"/>
      <c r="B152" s="602"/>
      <c r="C152" s="123" t="s">
        <v>4</v>
      </c>
      <c r="D152" s="14">
        <v>1</v>
      </c>
      <c r="E152" s="14" t="s">
        <v>5</v>
      </c>
      <c r="F152" s="14"/>
      <c r="G152" s="14" t="s">
        <v>6</v>
      </c>
      <c r="H152" s="14" t="s">
        <v>10</v>
      </c>
      <c r="I152" s="14">
        <v>45429</v>
      </c>
      <c r="J152" s="14" t="s">
        <v>59</v>
      </c>
      <c r="K152" s="14">
        <v>123456</v>
      </c>
      <c r="L152" s="389">
        <v>1</v>
      </c>
      <c r="M152" s="389">
        <v>1</v>
      </c>
      <c r="N152" s="389">
        <v>1</v>
      </c>
      <c r="O152" s="28">
        <v>5.45</v>
      </c>
      <c r="P152" s="389">
        <v>12300000949</v>
      </c>
      <c r="Q152" s="180" t="s">
        <v>17</v>
      </c>
      <c r="R152" s="389" t="s">
        <v>7</v>
      </c>
      <c r="S152" s="25" t="s">
        <v>13</v>
      </c>
      <c r="T152" s="25" t="s">
        <v>13</v>
      </c>
      <c r="U152" s="25">
        <v>2</v>
      </c>
      <c r="V152" s="28">
        <v>0.1</v>
      </c>
      <c r="W152" s="389"/>
      <c r="X152" s="26"/>
      <c r="Y152" s="27"/>
      <c r="Z152" s="150"/>
      <c r="AA152" s="150"/>
      <c r="AB152" s="152" t="s">
        <v>13</v>
      </c>
      <c r="AC152" s="25">
        <v>2</v>
      </c>
      <c r="AD152" s="28">
        <v>0.2</v>
      </c>
      <c r="AE152" s="389"/>
      <c r="AF152" s="59" t="s">
        <v>119</v>
      </c>
      <c r="AG152" s="207">
        <v>0.5</v>
      </c>
      <c r="AH152" s="28" t="s">
        <v>67</v>
      </c>
      <c r="AI152" s="389"/>
      <c r="AJ152" s="390"/>
    </row>
    <row r="153" spans="1:37" ht="15" x14ac:dyDescent="0.25">
      <c r="A153" s="567"/>
      <c r="B153" s="602"/>
      <c r="C153" s="123" t="s">
        <v>4</v>
      </c>
      <c r="D153" s="14">
        <v>1</v>
      </c>
      <c r="E153" s="14" t="s">
        <v>5</v>
      </c>
      <c r="F153" s="14"/>
      <c r="G153" s="14" t="s">
        <v>6</v>
      </c>
      <c r="H153" s="14" t="s">
        <v>10</v>
      </c>
      <c r="I153" s="14">
        <v>45429</v>
      </c>
      <c r="J153" s="14" t="s">
        <v>60</v>
      </c>
      <c r="K153" s="14">
        <v>123456</v>
      </c>
      <c r="L153" s="389">
        <v>2</v>
      </c>
      <c r="M153" s="389">
        <v>1</v>
      </c>
      <c r="N153" s="389">
        <v>1</v>
      </c>
      <c r="O153" s="28">
        <v>4.7</v>
      </c>
      <c r="P153" s="389">
        <v>12300502603</v>
      </c>
      <c r="Q153" s="180" t="s">
        <v>12</v>
      </c>
      <c r="R153" s="389" t="s">
        <v>7</v>
      </c>
      <c r="S153" s="25" t="s">
        <v>13</v>
      </c>
      <c r="T153" s="25" t="s">
        <v>13</v>
      </c>
      <c r="U153" s="25">
        <v>2</v>
      </c>
      <c r="V153" s="28">
        <v>0.1</v>
      </c>
      <c r="W153" s="389"/>
      <c r="X153" s="26"/>
      <c r="Y153" s="28">
        <v>0.75</v>
      </c>
      <c r="Z153" s="150"/>
      <c r="AA153" s="150"/>
      <c r="AB153" s="152" t="s">
        <v>13</v>
      </c>
      <c r="AC153" s="25">
        <v>2</v>
      </c>
      <c r="AD153" s="28">
        <v>0.2</v>
      </c>
      <c r="AE153" s="25" t="s">
        <v>14</v>
      </c>
      <c r="AF153" s="59" t="s">
        <v>119</v>
      </c>
      <c r="AG153" s="207">
        <v>0.5</v>
      </c>
      <c r="AH153" s="28" t="s">
        <v>67</v>
      </c>
      <c r="AI153" s="389"/>
      <c r="AJ153" s="390"/>
    </row>
    <row r="154" spans="1:37" s="2" customFormat="1" ht="12.75" x14ac:dyDescent="0.2">
      <c r="A154" s="567"/>
      <c r="B154" s="602"/>
      <c r="C154" s="524"/>
      <c r="D154" s="525"/>
      <c r="E154" s="525"/>
      <c r="F154" s="525"/>
      <c r="G154" s="525"/>
      <c r="H154" s="525"/>
      <c r="I154" s="525"/>
      <c r="J154" s="525"/>
      <c r="K154" s="525"/>
      <c r="L154" s="525"/>
      <c r="M154" s="525"/>
      <c r="N154" s="525"/>
      <c r="O154" s="525"/>
      <c r="P154" s="525"/>
      <c r="Q154" s="525"/>
      <c r="R154" s="525"/>
      <c r="S154" s="525"/>
      <c r="T154" s="525"/>
      <c r="U154" s="525"/>
      <c r="V154" s="525"/>
      <c r="W154" s="525"/>
      <c r="X154" s="525"/>
      <c r="Y154" s="525"/>
      <c r="Z154" s="525"/>
      <c r="AA154" s="525"/>
      <c r="AB154" s="525"/>
      <c r="AC154" s="525"/>
      <c r="AD154" s="525"/>
      <c r="AE154" s="525"/>
      <c r="AF154" s="525"/>
      <c r="AG154" s="525"/>
      <c r="AH154" s="525"/>
      <c r="AI154" s="525"/>
      <c r="AJ154" s="526"/>
      <c r="AK154" s="11"/>
    </row>
    <row r="155" spans="1:37" s="2" customFormat="1" ht="13.5" thickBot="1" x14ac:dyDescent="0.25">
      <c r="A155" s="568"/>
      <c r="B155" s="551"/>
      <c r="C155" s="122" t="s">
        <v>4</v>
      </c>
      <c r="D155" s="91">
        <v>1</v>
      </c>
      <c r="E155" s="91" t="s">
        <v>5</v>
      </c>
      <c r="F155" s="91"/>
      <c r="G155" s="91" t="s">
        <v>6</v>
      </c>
      <c r="H155" s="91" t="s">
        <v>10</v>
      </c>
      <c r="I155" s="91">
        <v>45429</v>
      </c>
      <c r="J155" s="88" t="s">
        <v>59</v>
      </c>
      <c r="K155" s="88">
        <v>123456</v>
      </c>
      <c r="L155" s="88">
        <v>1</v>
      </c>
      <c r="M155" s="88">
        <v>1</v>
      </c>
      <c r="N155" s="88">
        <v>1</v>
      </c>
      <c r="O155" s="79">
        <v>54.5</v>
      </c>
      <c r="P155" s="80">
        <v>12300194136</v>
      </c>
      <c r="Q155" s="181" t="s">
        <v>17</v>
      </c>
      <c r="R155" s="80" t="s">
        <v>9</v>
      </c>
      <c r="S155" s="81" t="s">
        <v>13</v>
      </c>
      <c r="T155" s="81" t="s">
        <v>13</v>
      </c>
      <c r="U155" s="81">
        <v>2</v>
      </c>
      <c r="V155" s="79">
        <v>1</v>
      </c>
      <c r="W155" s="88"/>
      <c r="X155" s="89"/>
      <c r="Y155" s="82"/>
      <c r="Z155" s="88"/>
      <c r="AA155" s="89"/>
      <c r="AB155" s="81" t="s">
        <v>13</v>
      </c>
      <c r="AC155" s="81">
        <v>2</v>
      </c>
      <c r="AD155" s="79">
        <v>2</v>
      </c>
      <c r="AE155" s="78"/>
      <c r="AF155" s="83" t="s">
        <v>119</v>
      </c>
      <c r="AG155" s="208">
        <v>5</v>
      </c>
      <c r="AH155" s="79" t="s">
        <v>67</v>
      </c>
      <c r="AI155" s="88"/>
      <c r="AJ155" s="90"/>
      <c r="AK155" s="11"/>
    </row>
    <row r="156" spans="1:37" s="211" customFormat="1" ht="13.5" customHeight="1" thickBot="1" x14ac:dyDescent="0.3">
      <c r="A156" s="245"/>
      <c r="B156" s="246"/>
      <c r="C156" s="412"/>
      <c r="D156" s="247"/>
      <c r="E156" s="247"/>
      <c r="F156" s="247"/>
      <c r="G156" s="247"/>
      <c r="H156" s="247"/>
      <c r="I156" s="247"/>
      <c r="J156" s="247"/>
      <c r="K156" s="247"/>
      <c r="L156" s="247"/>
      <c r="M156" s="247"/>
      <c r="N156" s="247"/>
      <c r="O156" s="247"/>
      <c r="P156" s="248"/>
      <c r="Q156" s="249"/>
      <c r="R156" s="247"/>
      <c r="S156" s="247"/>
      <c r="T156" s="247"/>
      <c r="U156" s="247"/>
      <c r="V156" s="247"/>
      <c r="W156" s="248"/>
      <c r="X156" s="247"/>
      <c r="Y156" s="248"/>
      <c r="Z156" s="248"/>
      <c r="AA156" s="247"/>
      <c r="AB156" s="248"/>
      <c r="AC156" s="247"/>
      <c r="AD156" s="247"/>
      <c r="AE156" s="248"/>
      <c r="AF156" s="247"/>
      <c r="AG156" s="247"/>
      <c r="AH156" s="248"/>
      <c r="AI156" s="247"/>
      <c r="AJ156" s="413"/>
      <c r="AK156" s="404"/>
    </row>
    <row r="157" spans="1:37" ht="18.75" customHeight="1" x14ac:dyDescent="0.25">
      <c r="A157" s="566">
        <v>29</v>
      </c>
      <c r="B157" s="569" t="s">
        <v>126</v>
      </c>
      <c r="C157" s="98" t="s">
        <v>4</v>
      </c>
      <c r="D157" s="72">
        <v>1</v>
      </c>
      <c r="E157" s="72" t="s">
        <v>5</v>
      </c>
      <c r="F157" s="72"/>
      <c r="G157" s="72" t="s">
        <v>6</v>
      </c>
      <c r="H157" s="72" t="s">
        <v>10</v>
      </c>
      <c r="I157" s="72">
        <v>45429</v>
      </c>
      <c r="J157" s="72" t="s">
        <v>59</v>
      </c>
      <c r="K157" s="72">
        <v>123456</v>
      </c>
      <c r="L157" s="73">
        <v>1</v>
      </c>
      <c r="M157" s="73">
        <v>1</v>
      </c>
      <c r="N157" s="73">
        <v>1</v>
      </c>
      <c r="O157" s="74">
        <v>5.75</v>
      </c>
      <c r="P157" s="118">
        <v>12300000949</v>
      </c>
      <c r="Q157" s="119" t="s">
        <v>17</v>
      </c>
      <c r="R157" s="73" t="s">
        <v>7</v>
      </c>
      <c r="S157" s="73" t="s">
        <v>8</v>
      </c>
      <c r="T157" s="73"/>
      <c r="U157" s="73"/>
      <c r="V157" s="74"/>
      <c r="W157" s="73"/>
      <c r="X157" s="74"/>
      <c r="Y157" s="74"/>
      <c r="Z157" s="73"/>
      <c r="AA157" s="74"/>
      <c r="AB157" s="73"/>
      <c r="AC157" s="73"/>
      <c r="AD157" s="74"/>
      <c r="AE157" s="73"/>
      <c r="AF157" s="73" t="s">
        <v>119</v>
      </c>
      <c r="AG157" s="74">
        <v>0.5</v>
      </c>
      <c r="AH157" s="73"/>
      <c r="AI157" s="73"/>
      <c r="AJ157" s="75"/>
    </row>
    <row r="158" spans="1:37" ht="18.75" customHeight="1" x14ac:dyDescent="0.25">
      <c r="A158" s="567"/>
      <c r="B158" s="601"/>
      <c r="C158" s="99" t="s">
        <v>4</v>
      </c>
      <c r="D158" s="18">
        <v>1</v>
      </c>
      <c r="E158" s="18" t="s">
        <v>5</v>
      </c>
      <c r="F158" s="18"/>
      <c r="G158" s="18" t="s">
        <v>6</v>
      </c>
      <c r="H158" s="18" t="s">
        <v>10</v>
      </c>
      <c r="I158" s="18">
        <v>45429</v>
      </c>
      <c r="J158" s="29" t="s">
        <v>59</v>
      </c>
      <c r="K158" s="29">
        <v>123456</v>
      </c>
      <c r="L158" s="29">
        <v>1</v>
      </c>
      <c r="M158" s="29">
        <v>1</v>
      </c>
      <c r="N158" s="29">
        <v>1</v>
      </c>
      <c r="O158" s="30">
        <v>57.5</v>
      </c>
      <c r="P158" s="45">
        <v>12300194136</v>
      </c>
      <c r="Q158" s="48" t="s">
        <v>17</v>
      </c>
      <c r="R158" s="29" t="s">
        <v>9</v>
      </c>
      <c r="S158" s="29" t="s">
        <v>8</v>
      </c>
      <c r="T158" s="29"/>
      <c r="U158" s="29"/>
      <c r="V158" s="30"/>
      <c r="W158" s="29"/>
      <c r="X158" s="30"/>
      <c r="Y158" s="30"/>
      <c r="Z158" s="29"/>
      <c r="AA158" s="30"/>
      <c r="AB158" s="29"/>
      <c r="AC158" s="29"/>
      <c r="AD158" s="30"/>
      <c r="AE158" s="29"/>
      <c r="AF158" s="29" t="s">
        <v>119</v>
      </c>
      <c r="AG158" s="30">
        <v>5</v>
      </c>
      <c r="AH158" s="29"/>
      <c r="AI158" s="29"/>
      <c r="AJ158" s="76"/>
    </row>
    <row r="159" spans="1:37" s="2" customFormat="1" ht="18.75" customHeight="1" x14ac:dyDescent="0.2">
      <c r="A159" s="567"/>
      <c r="B159" s="570"/>
      <c r="C159" s="524"/>
      <c r="D159" s="525"/>
      <c r="E159" s="525"/>
      <c r="F159" s="525"/>
      <c r="G159" s="525"/>
      <c r="H159" s="525"/>
      <c r="I159" s="525"/>
      <c r="J159" s="525"/>
      <c r="K159" s="525"/>
      <c r="L159" s="525"/>
      <c r="M159" s="525"/>
      <c r="N159" s="525"/>
      <c r="O159" s="525"/>
      <c r="P159" s="525"/>
      <c r="Q159" s="525"/>
      <c r="R159" s="525"/>
      <c r="S159" s="525"/>
      <c r="T159" s="525"/>
      <c r="U159" s="525"/>
      <c r="V159" s="525"/>
      <c r="W159" s="525"/>
      <c r="X159" s="525"/>
      <c r="Y159" s="525"/>
      <c r="Z159" s="525"/>
      <c r="AA159" s="525"/>
      <c r="AB159" s="525"/>
      <c r="AC159" s="525"/>
      <c r="AD159" s="525"/>
      <c r="AE159" s="525"/>
      <c r="AF159" s="525"/>
      <c r="AG159" s="525"/>
      <c r="AH159" s="525"/>
      <c r="AI159" s="525"/>
      <c r="AJ159" s="526"/>
      <c r="AK159" s="11"/>
    </row>
    <row r="160" spans="1:37" ht="18.75" customHeight="1" x14ac:dyDescent="0.25">
      <c r="A160" s="567"/>
      <c r="B160" s="571"/>
      <c r="C160" s="123" t="s">
        <v>4</v>
      </c>
      <c r="D160" s="14">
        <v>1</v>
      </c>
      <c r="E160" s="14" t="s">
        <v>5</v>
      </c>
      <c r="F160" s="14"/>
      <c r="G160" s="14" t="s">
        <v>6</v>
      </c>
      <c r="H160" s="14" t="s">
        <v>10</v>
      </c>
      <c r="I160" s="14">
        <v>45429</v>
      </c>
      <c r="J160" s="14" t="s">
        <v>59</v>
      </c>
      <c r="K160" s="14">
        <v>123456</v>
      </c>
      <c r="L160" s="389">
        <v>1</v>
      </c>
      <c r="M160" s="389">
        <v>1</v>
      </c>
      <c r="N160" s="389">
        <v>1</v>
      </c>
      <c r="O160" s="28">
        <v>3.7</v>
      </c>
      <c r="P160" s="389">
        <v>12300502603</v>
      </c>
      <c r="Q160" s="180" t="s">
        <v>12</v>
      </c>
      <c r="R160" s="389" t="s">
        <v>7</v>
      </c>
      <c r="S160" s="25" t="s">
        <v>13</v>
      </c>
      <c r="T160" s="25" t="s">
        <v>13</v>
      </c>
      <c r="U160" s="25">
        <v>2</v>
      </c>
      <c r="V160" s="28">
        <v>0.1</v>
      </c>
      <c r="W160" s="389"/>
      <c r="X160" s="26"/>
      <c r="Y160" s="28">
        <v>0.75</v>
      </c>
      <c r="Z160" s="157">
        <v>512300211760</v>
      </c>
      <c r="AA160" s="149">
        <v>1</v>
      </c>
      <c r="AB160" s="25" t="s">
        <v>13</v>
      </c>
      <c r="AC160" s="25">
        <v>2</v>
      </c>
      <c r="AD160" s="28">
        <v>0.2</v>
      </c>
      <c r="AE160" s="25" t="s">
        <v>14</v>
      </c>
      <c r="AF160" s="59" t="s">
        <v>119</v>
      </c>
      <c r="AG160" s="207">
        <v>0.5</v>
      </c>
      <c r="AH160" s="28" t="s">
        <v>67</v>
      </c>
      <c r="AI160" s="389"/>
      <c r="AJ160" s="390"/>
    </row>
    <row r="161" spans="1:37" ht="18.75" customHeight="1" x14ac:dyDescent="0.25">
      <c r="A161" s="567"/>
      <c r="B161" s="571"/>
      <c r="C161" s="123" t="s">
        <v>4</v>
      </c>
      <c r="D161" s="14">
        <v>1</v>
      </c>
      <c r="E161" s="14" t="s">
        <v>5</v>
      </c>
      <c r="F161" s="14"/>
      <c r="G161" s="14" t="s">
        <v>6</v>
      </c>
      <c r="H161" s="14" t="s">
        <v>10</v>
      </c>
      <c r="I161" s="14">
        <v>45429</v>
      </c>
      <c r="J161" s="14" t="s">
        <v>60</v>
      </c>
      <c r="K161" s="14">
        <v>123456</v>
      </c>
      <c r="L161" s="389">
        <v>2</v>
      </c>
      <c r="M161" s="389">
        <v>1</v>
      </c>
      <c r="N161" s="389">
        <v>1</v>
      </c>
      <c r="O161" s="28">
        <v>4.7</v>
      </c>
      <c r="P161" s="389">
        <v>12300502603</v>
      </c>
      <c r="Q161" s="180" t="s">
        <v>12</v>
      </c>
      <c r="R161" s="389" t="s">
        <v>7</v>
      </c>
      <c r="S161" s="25" t="s">
        <v>13</v>
      </c>
      <c r="T161" s="25" t="s">
        <v>13</v>
      </c>
      <c r="U161" s="25">
        <v>2</v>
      </c>
      <c r="V161" s="28">
        <v>0.1</v>
      </c>
      <c r="W161" s="389"/>
      <c r="X161" s="26"/>
      <c r="Y161" s="28">
        <v>0.75</v>
      </c>
      <c r="Z161" s="156"/>
      <c r="AA161" s="150"/>
      <c r="AB161" s="152" t="s">
        <v>13</v>
      </c>
      <c r="AC161" s="25">
        <v>2</v>
      </c>
      <c r="AD161" s="28">
        <v>0.2</v>
      </c>
      <c r="AE161" s="25" t="s">
        <v>14</v>
      </c>
      <c r="AF161" s="59" t="s">
        <v>119</v>
      </c>
      <c r="AG161" s="207">
        <v>0.5</v>
      </c>
      <c r="AH161" s="28" t="s">
        <v>67</v>
      </c>
      <c r="AI161" s="389"/>
      <c r="AJ161" s="390"/>
    </row>
    <row r="162" spans="1:37" s="2" customFormat="1" ht="18.75" customHeight="1" x14ac:dyDescent="0.2">
      <c r="A162" s="567"/>
      <c r="B162" s="571"/>
      <c r="C162" s="524"/>
      <c r="D162" s="525"/>
      <c r="E162" s="525"/>
      <c r="F162" s="525"/>
      <c r="G162" s="525"/>
      <c r="H162" s="525"/>
      <c r="I162" s="525"/>
      <c r="J162" s="525"/>
      <c r="K162" s="525"/>
      <c r="L162" s="525"/>
      <c r="M162" s="525"/>
      <c r="N162" s="525"/>
      <c r="O162" s="525"/>
      <c r="P162" s="525"/>
      <c r="Q162" s="525"/>
      <c r="R162" s="525"/>
      <c r="S162" s="525"/>
      <c r="T162" s="525"/>
      <c r="U162" s="525"/>
      <c r="V162" s="525"/>
      <c r="W162" s="525"/>
      <c r="X162" s="525"/>
      <c r="Y162" s="525"/>
      <c r="Z162" s="525"/>
      <c r="AA162" s="525"/>
      <c r="AB162" s="525"/>
      <c r="AC162" s="525"/>
      <c r="AD162" s="525"/>
      <c r="AE162" s="525"/>
      <c r="AF162" s="525"/>
      <c r="AG162" s="525"/>
      <c r="AH162" s="525"/>
      <c r="AI162" s="525"/>
      <c r="AJ162" s="526"/>
      <c r="AK162" s="11"/>
    </row>
    <row r="163" spans="1:37" ht="18.75" customHeight="1" x14ac:dyDescent="0.25">
      <c r="A163" s="567"/>
      <c r="B163" s="602"/>
      <c r="C163" s="123" t="s">
        <v>4</v>
      </c>
      <c r="D163" s="14">
        <v>1</v>
      </c>
      <c r="E163" s="14" t="s">
        <v>5</v>
      </c>
      <c r="F163" s="14"/>
      <c r="G163" s="14" t="s">
        <v>6</v>
      </c>
      <c r="H163" s="14" t="s">
        <v>10</v>
      </c>
      <c r="I163" s="14">
        <v>45429</v>
      </c>
      <c r="J163" s="14" t="s">
        <v>59</v>
      </c>
      <c r="K163" s="14">
        <v>123456</v>
      </c>
      <c r="L163" s="389">
        <v>1</v>
      </c>
      <c r="M163" s="389">
        <v>1</v>
      </c>
      <c r="N163" s="389">
        <v>2</v>
      </c>
      <c r="O163" s="28">
        <v>4.2</v>
      </c>
      <c r="P163" s="389">
        <v>12300502603</v>
      </c>
      <c r="Q163" s="180" t="s">
        <v>12</v>
      </c>
      <c r="R163" s="389" t="s">
        <v>7</v>
      </c>
      <c r="S163" s="25" t="s">
        <v>13</v>
      </c>
      <c r="T163" s="25" t="s">
        <v>13</v>
      </c>
      <c r="U163" s="25">
        <v>2</v>
      </c>
      <c r="V163" s="28">
        <v>0.1</v>
      </c>
      <c r="W163" s="389"/>
      <c r="X163" s="26"/>
      <c r="Y163" s="28">
        <v>0.75</v>
      </c>
      <c r="Z163" s="157">
        <v>512300211760</v>
      </c>
      <c r="AA163" s="149">
        <v>1</v>
      </c>
      <c r="AB163" s="25" t="s">
        <v>13</v>
      </c>
      <c r="AC163" s="25">
        <v>2</v>
      </c>
      <c r="AD163" s="28">
        <v>0.2</v>
      </c>
      <c r="AE163" s="25" t="s">
        <v>14</v>
      </c>
      <c r="AF163" s="59" t="s">
        <v>119</v>
      </c>
      <c r="AG163" s="207">
        <v>0.5</v>
      </c>
      <c r="AH163" s="28" t="s">
        <v>67</v>
      </c>
      <c r="AI163" s="389"/>
      <c r="AJ163" s="390"/>
    </row>
    <row r="164" spans="1:37" s="2" customFormat="1" ht="18.75" customHeight="1" x14ac:dyDescent="0.2">
      <c r="A164" s="567"/>
      <c r="B164" s="602"/>
      <c r="C164" s="524"/>
      <c r="D164" s="525"/>
      <c r="E164" s="525"/>
      <c r="F164" s="525"/>
      <c r="G164" s="525"/>
      <c r="H164" s="525"/>
      <c r="I164" s="525"/>
      <c r="J164" s="525"/>
      <c r="K164" s="525"/>
      <c r="L164" s="525"/>
      <c r="M164" s="525"/>
      <c r="N164" s="525"/>
      <c r="O164" s="525"/>
      <c r="P164" s="525"/>
      <c r="Q164" s="525"/>
      <c r="R164" s="525"/>
      <c r="S164" s="525"/>
      <c r="T164" s="525"/>
      <c r="U164" s="525"/>
      <c r="V164" s="525"/>
      <c r="W164" s="525"/>
      <c r="X164" s="525"/>
      <c r="Y164" s="525"/>
      <c r="Z164" s="525"/>
      <c r="AA164" s="525"/>
      <c r="AB164" s="525"/>
      <c r="AC164" s="525"/>
      <c r="AD164" s="525"/>
      <c r="AE164" s="525"/>
      <c r="AF164" s="525"/>
      <c r="AG164" s="525"/>
      <c r="AH164" s="525"/>
      <c r="AI164" s="525"/>
      <c r="AJ164" s="526"/>
      <c r="AK164" s="11"/>
    </row>
    <row r="165" spans="1:37" ht="18.75" customHeight="1" x14ac:dyDescent="0.25">
      <c r="A165" s="567"/>
      <c r="B165" s="602"/>
      <c r="C165" s="123" t="s">
        <v>4</v>
      </c>
      <c r="D165" s="14">
        <v>1</v>
      </c>
      <c r="E165" s="14" t="s">
        <v>5</v>
      </c>
      <c r="F165" s="14"/>
      <c r="G165" s="14" t="s">
        <v>6</v>
      </c>
      <c r="H165" s="14" t="s">
        <v>10</v>
      </c>
      <c r="I165" s="14">
        <v>45429</v>
      </c>
      <c r="J165" s="14" t="s">
        <v>59</v>
      </c>
      <c r="K165" s="14">
        <v>123456</v>
      </c>
      <c r="L165" s="389">
        <v>1</v>
      </c>
      <c r="M165" s="389">
        <v>1</v>
      </c>
      <c r="N165" s="389">
        <v>1</v>
      </c>
      <c r="O165" s="28">
        <v>5.45</v>
      </c>
      <c r="P165" s="389">
        <v>12300000949</v>
      </c>
      <c r="Q165" s="180" t="s">
        <v>17</v>
      </c>
      <c r="R165" s="389" t="s">
        <v>7</v>
      </c>
      <c r="S165" s="25" t="s">
        <v>13</v>
      </c>
      <c r="T165" s="25" t="s">
        <v>13</v>
      </c>
      <c r="U165" s="25">
        <v>2</v>
      </c>
      <c r="V165" s="28">
        <v>0.1</v>
      </c>
      <c r="W165" s="389"/>
      <c r="X165" s="26"/>
      <c r="Y165" s="27"/>
      <c r="Z165" s="156"/>
      <c r="AA165" s="150"/>
      <c r="AB165" s="152" t="s">
        <v>13</v>
      </c>
      <c r="AC165" s="25">
        <v>2</v>
      </c>
      <c r="AD165" s="28">
        <v>0.2</v>
      </c>
      <c r="AE165" s="389"/>
      <c r="AF165" s="59" t="s">
        <v>119</v>
      </c>
      <c r="AG165" s="207">
        <v>0.5</v>
      </c>
      <c r="AH165" s="28" t="s">
        <v>67</v>
      </c>
      <c r="AI165" s="389"/>
      <c r="AJ165" s="390"/>
    </row>
    <row r="166" spans="1:37" ht="18.75" customHeight="1" x14ac:dyDescent="0.25">
      <c r="A166" s="567"/>
      <c r="B166" s="602"/>
      <c r="C166" s="123" t="s">
        <v>4</v>
      </c>
      <c r="D166" s="14">
        <v>1</v>
      </c>
      <c r="E166" s="14" t="s">
        <v>5</v>
      </c>
      <c r="F166" s="14"/>
      <c r="G166" s="14" t="s">
        <v>6</v>
      </c>
      <c r="H166" s="14" t="s">
        <v>10</v>
      </c>
      <c r="I166" s="14">
        <v>45429</v>
      </c>
      <c r="J166" s="14" t="s">
        <v>60</v>
      </c>
      <c r="K166" s="14">
        <v>123456</v>
      </c>
      <c r="L166" s="389">
        <v>2</v>
      </c>
      <c r="M166" s="389">
        <v>1</v>
      </c>
      <c r="N166" s="389">
        <v>1</v>
      </c>
      <c r="O166" s="28">
        <v>3.7</v>
      </c>
      <c r="P166" s="389">
        <v>12300502603</v>
      </c>
      <c r="Q166" s="180" t="s">
        <v>12</v>
      </c>
      <c r="R166" s="389" t="s">
        <v>7</v>
      </c>
      <c r="S166" s="25" t="s">
        <v>13</v>
      </c>
      <c r="T166" s="25" t="s">
        <v>13</v>
      </c>
      <c r="U166" s="25">
        <v>2</v>
      </c>
      <c r="V166" s="28">
        <v>0.1</v>
      </c>
      <c r="W166" s="389"/>
      <c r="X166" s="26"/>
      <c r="Y166" s="28">
        <v>0.75</v>
      </c>
      <c r="Z166" s="157">
        <v>512300211760</v>
      </c>
      <c r="AA166" s="149">
        <v>1</v>
      </c>
      <c r="AB166" s="152" t="s">
        <v>13</v>
      </c>
      <c r="AC166" s="25">
        <v>2</v>
      </c>
      <c r="AD166" s="28">
        <v>0.2</v>
      </c>
      <c r="AE166" s="25" t="s">
        <v>14</v>
      </c>
      <c r="AF166" s="59" t="s">
        <v>119</v>
      </c>
      <c r="AG166" s="207">
        <v>0.5</v>
      </c>
      <c r="AH166" s="28" t="s">
        <v>67</v>
      </c>
      <c r="AI166" s="389"/>
      <c r="AJ166" s="390"/>
    </row>
    <row r="167" spans="1:37" s="2" customFormat="1" ht="18.75" customHeight="1" x14ac:dyDescent="0.2">
      <c r="A167" s="567"/>
      <c r="B167" s="602"/>
      <c r="C167" s="524"/>
      <c r="D167" s="525"/>
      <c r="E167" s="525"/>
      <c r="F167" s="525"/>
      <c r="G167" s="525"/>
      <c r="H167" s="525"/>
      <c r="I167" s="525"/>
      <c r="J167" s="525"/>
      <c r="K167" s="525"/>
      <c r="L167" s="525"/>
      <c r="M167" s="525"/>
      <c r="N167" s="525"/>
      <c r="O167" s="525"/>
      <c r="P167" s="525"/>
      <c r="Q167" s="525"/>
      <c r="R167" s="525"/>
      <c r="S167" s="525"/>
      <c r="T167" s="525"/>
      <c r="U167" s="525"/>
      <c r="V167" s="525"/>
      <c r="W167" s="525"/>
      <c r="X167" s="525"/>
      <c r="Y167" s="525"/>
      <c r="Z167" s="525"/>
      <c r="AA167" s="525"/>
      <c r="AB167" s="525"/>
      <c r="AC167" s="525"/>
      <c r="AD167" s="525"/>
      <c r="AE167" s="525"/>
      <c r="AF167" s="525"/>
      <c r="AG167" s="525"/>
      <c r="AH167" s="525"/>
      <c r="AI167" s="525"/>
      <c r="AJ167" s="526"/>
      <c r="AK167" s="11"/>
    </row>
    <row r="168" spans="1:37" ht="18.75" customHeight="1" thickBot="1" x14ac:dyDescent="0.3">
      <c r="A168" s="568"/>
      <c r="B168" s="551"/>
      <c r="C168" s="122" t="s">
        <v>4</v>
      </c>
      <c r="D168" s="91">
        <v>1</v>
      </c>
      <c r="E168" s="91" t="s">
        <v>5</v>
      </c>
      <c r="F168" s="91"/>
      <c r="G168" s="91" t="s">
        <v>6</v>
      </c>
      <c r="H168" s="91" t="s">
        <v>10</v>
      </c>
      <c r="I168" s="91">
        <v>45429</v>
      </c>
      <c r="J168" s="88" t="s">
        <v>59</v>
      </c>
      <c r="K168" s="88">
        <v>123456</v>
      </c>
      <c r="L168" s="88">
        <v>1</v>
      </c>
      <c r="M168" s="88">
        <v>1</v>
      </c>
      <c r="N168" s="88">
        <v>1</v>
      </c>
      <c r="O168" s="79">
        <v>52.5</v>
      </c>
      <c r="P168" s="80">
        <v>12300194136</v>
      </c>
      <c r="Q168" s="181" t="s">
        <v>17</v>
      </c>
      <c r="R168" s="80" t="s">
        <v>9</v>
      </c>
      <c r="S168" s="81" t="s">
        <v>13</v>
      </c>
      <c r="T168" s="81" t="s">
        <v>13</v>
      </c>
      <c r="U168" s="81">
        <v>2</v>
      </c>
      <c r="V168" s="79">
        <v>1</v>
      </c>
      <c r="W168" s="88"/>
      <c r="X168" s="89"/>
      <c r="Y168" s="82"/>
      <c r="Z168" s="158">
        <v>512300111879</v>
      </c>
      <c r="AA168" s="79">
        <v>2</v>
      </c>
      <c r="AB168" s="81" t="s">
        <v>13</v>
      </c>
      <c r="AC168" s="81">
        <v>2</v>
      </c>
      <c r="AD168" s="79">
        <v>2</v>
      </c>
      <c r="AE168" s="78"/>
      <c r="AF168" s="83" t="s">
        <v>119</v>
      </c>
      <c r="AG168" s="208">
        <v>5</v>
      </c>
      <c r="AH168" s="79" t="s">
        <v>67</v>
      </c>
      <c r="AI168" s="88"/>
      <c r="AJ168" s="90"/>
    </row>
    <row r="169" spans="1:37" s="211" customFormat="1" ht="13.5" customHeight="1" thickBot="1" x14ac:dyDescent="0.3">
      <c r="A169" s="245"/>
      <c r="B169" s="246"/>
      <c r="C169" s="412"/>
      <c r="D169" s="247"/>
      <c r="E169" s="247"/>
      <c r="F169" s="247"/>
      <c r="G169" s="247"/>
      <c r="H169" s="247"/>
      <c r="I169" s="247"/>
      <c r="J169" s="247"/>
      <c r="K169" s="247"/>
      <c r="L169" s="247"/>
      <c r="M169" s="247"/>
      <c r="N169" s="247"/>
      <c r="O169" s="247"/>
      <c r="P169" s="248"/>
      <c r="Q169" s="249"/>
      <c r="R169" s="247"/>
      <c r="S169" s="247"/>
      <c r="T169" s="247"/>
      <c r="U169" s="247"/>
      <c r="V169" s="247"/>
      <c r="W169" s="248"/>
      <c r="X169" s="247"/>
      <c r="Y169" s="248"/>
      <c r="Z169" s="248"/>
      <c r="AA169" s="247"/>
      <c r="AB169" s="248"/>
      <c r="AC169" s="247"/>
      <c r="AD169" s="247"/>
      <c r="AE169" s="248"/>
      <c r="AF169" s="247"/>
      <c r="AG169" s="247"/>
      <c r="AH169" s="248"/>
      <c r="AI169" s="247"/>
      <c r="AJ169" s="413"/>
      <c r="AK169" s="404"/>
    </row>
    <row r="170" spans="1:37" s="2" customFormat="1" ht="12.95" customHeight="1" x14ac:dyDescent="0.2">
      <c r="A170" s="572">
        <v>30</v>
      </c>
      <c r="B170" s="527" t="s">
        <v>130</v>
      </c>
      <c r="C170" s="98" t="s">
        <v>4</v>
      </c>
      <c r="D170" s="72">
        <v>1</v>
      </c>
      <c r="E170" s="72" t="s">
        <v>5</v>
      </c>
      <c r="F170" s="72"/>
      <c r="G170" s="72" t="s">
        <v>6</v>
      </c>
      <c r="H170" s="72" t="s">
        <v>10</v>
      </c>
      <c r="I170" s="72">
        <v>45429</v>
      </c>
      <c r="J170" s="72" t="s">
        <v>59</v>
      </c>
      <c r="K170" s="72">
        <v>123456</v>
      </c>
      <c r="L170" s="73">
        <v>1</v>
      </c>
      <c r="M170" s="73">
        <v>1</v>
      </c>
      <c r="N170" s="73">
        <v>1</v>
      </c>
      <c r="O170" s="74">
        <v>5.7</v>
      </c>
      <c r="P170" s="73">
        <v>1230020608</v>
      </c>
      <c r="Q170" s="72" t="s">
        <v>11</v>
      </c>
      <c r="R170" s="73" t="s">
        <v>7</v>
      </c>
      <c r="S170" s="73" t="s">
        <v>8</v>
      </c>
      <c r="T170" s="73"/>
      <c r="U170" s="73"/>
      <c r="V170" s="74"/>
      <c r="W170" s="73"/>
      <c r="X170" s="74"/>
      <c r="Y170" s="74"/>
      <c r="Z170" s="73"/>
      <c r="AA170" s="74"/>
      <c r="AB170" s="73"/>
      <c r="AC170" s="73"/>
      <c r="AD170" s="74"/>
      <c r="AE170" s="73"/>
      <c r="AF170" s="73" t="s">
        <v>119</v>
      </c>
      <c r="AG170" s="74">
        <v>0.5</v>
      </c>
      <c r="AH170" s="73"/>
      <c r="AI170" s="73"/>
      <c r="AJ170" s="75"/>
      <c r="AK170" s="11"/>
    </row>
    <row r="171" spans="1:37" ht="14.25" customHeight="1" x14ac:dyDescent="0.25">
      <c r="A171" s="573"/>
      <c r="B171" s="549"/>
      <c r="C171" s="99" t="s">
        <v>4</v>
      </c>
      <c r="D171" s="18">
        <v>1</v>
      </c>
      <c r="E171" s="18" t="s">
        <v>5</v>
      </c>
      <c r="F171" s="18"/>
      <c r="G171" s="18" t="s">
        <v>6</v>
      </c>
      <c r="H171" s="18" t="s">
        <v>10</v>
      </c>
      <c r="I171" s="18">
        <v>45429</v>
      </c>
      <c r="J171" s="29" t="s">
        <v>59</v>
      </c>
      <c r="K171" s="29">
        <v>123456</v>
      </c>
      <c r="L171" s="29">
        <v>1</v>
      </c>
      <c r="M171" s="29">
        <v>1</v>
      </c>
      <c r="N171" s="29">
        <v>1</v>
      </c>
      <c r="O171" s="30">
        <v>57.5</v>
      </c>
      <c r="P171" s="45">
        <v>12300194136</v>
      </c>
      <c r="Q171" s="48" t="s">
        <v>17</v>
      </c>
      <c r="R171" s="29" t="s">
        <v>9</v>
      </c>
      <c r="S171" s="29" t="s">
        <v>8</v>
      </c>
      <c r="T171" s="29"/>
      <c r="U171" s="29"/>
      <c r="V171" s="30"/>
      <c r="W171" s="29"/>
      <c r="X171" s="30"/>
      <c r="Y171" s="30"/>
      <c r="Z171" s="29"/>
      <c r="AA171" s="30"/>
      <c r="AB171" s="29"/>
      <c r="AC171" s="29"/>
      <c r="AD171" s="30"/>
      <c r="AE171" s="29"/>
      <c r="AF171" s="29" t="s">
        <v>119</v>
      </c>
      <c r="AG171" s="30">
        <v>2.5</v>
      </c>
      <c r="AH171" s="29"/>
      <c r="AI171" s="29"/>
      <c r="AJ171" s="76"/>
    </row>
    <row r="172" spans="1:37" s="2" customFormat="1" ht="12.75" x14ac:dyDescent="0.2">
      <c r="A172" s="573"/>
      <c r="B172" s="549"/>
      <c r="C172" s="524"/>
      <c r="D172" s="525"/>
      <c r="E172" s="525"/>
      <c r="F172" s="525"/>
      <c r="G172" s="525"/>
      <c r="H172" s="525"/>
      <c r="I172" s="525"/>
      <c r="J172" s="525"/>
      <c r="K172" s="525"/>
      <c r="L172" s="525"/>
      <c r="M172" s="525"/>
      <c r="N172" s="525"/>
      <c r="O172" s="525"/>
      <c r="P172" s="525"/>
      <c r="Q172" s="525"/>
      <c r="R172" s="525"/>
      <c r="S172" s="525"/>
      <c r="T172" s="525"/>
      <c r="U172" s="525"/>
      <c r="V172" s="525"/>
      <c r="W172" s="525"/>
      <c r="X172" s="525"/>
      <c r="Y172" s="525"/>
      <c r="Z172" s="525"/>
      <c r="AA172" s="525"/>
      <c r="AB172" s="525"/>
      <c r="AC172" s="525"/>
      <c r="AD172" s="525"/>
      <c r="AE172" s="525"/>
      <c r="AF172" s="525"/>
      <c r="AG172" s="525"/>
      <c r="AH172" s="525"/>
      <c r="AI172" s="525"/>
      <c r="AJ172" s="526"/>
      <c r="AK172" s="11"/>
    </row>
    <row r="173" spans="1:37" s="2" customFormat="1" ht="12.75" customHeight="1" x14ac:dyDescent="0.2">
      <c r="A173" s="573"/>
      <c r="B173" s="549"/>
      <c r="C173" s="123" t="s">
        <v>4</v>
      </c>
      <c r="D173" s="14">
        <v>1</v>
      </c>
      <c r="E173" s="14" t="s">
        <v>5</v>
      </c>
      <c r="F173" s="14"/>
      <c r="G173" s="14" t="s">
        <v>6</v>
      </c>
      <c r="H173" s="14" t="s">
        <v>10</v>
      </c>
      <c r="I173" s="14">
        <v>45429</v>
      </c>
      <c r="J173" s="14" t="s">
        <v>59</v>
      </c>
      <c r="K173" s="14">
        <v>123456</v>
      </c>
      <c r="L173" s="389">
        <v>1</v>
      </c>
      <c r="M173" s="389">
        <v>1</v>
      </c>
      <c r="N173" s="19">
        <v>2</v>
      </c>
      <c r="O173" s="28">
        <v>4.9000000000000004</v>
      </c>
      <c r="P173" s="389">
        <v>1230020608</v>
      </c>
      <c r="Q173" s="14" t="s">
        <v>11</v>
      </c>
      <c r="R173" s="389" t="s">
        <v>7</v>
      </c>
      <c r="S173" s="25" t="s">
        <v>13</v>
      </c>
      <c r="T173" s="389"/>
      <c r="U173" s="389"/>
      <c r="V173" s="26"/>
      <c r="W173" s="389"/>
      <c r="X173" s="26"/>
      <c r="Y173" s="28">
        <v>0.5</v>
      </c>
      <c r="Z173" s="389"/>
      <c r="AA173" s="26"/>
      <c r="AB173" s="25" t="s">
        <v>13</v>
      </c>
      <c r="AC173" s="25">
        <v>2</v>
      </c>
      <c r="AD173" s="28">
        <v>0.3</v>
      </c>
      <c r="AE173" s="25" t="s">
        <v>118</v>
      </c>
      <c r="AF173" s="59" t="s">
        <v>119</v>
      </c>
      <c r="AG173" s="207">
        <v>0.5</v>
      </c>
      <c r="AH173" s="28" t="s">
        <v>67</v>
      </c>
      <c r="AI173" s="389"/>
      <c r="AJ173" s="390"/>
      <c r="AK173" s="11"/>
    </row>
    <row r="174" spans="1:37" s="2" customFormat="1" ht="12.75" x14ac:dyDescent="0.2">
      <c r="A174" s="573"/>
      <c r="B174" s="549"/>
      <c r="C174" s="524"/>
      <c r="D174" s="525"/>
      <c r="E174" s="525"/>
      <c r="F174" s="525"/>
      <c r="G174" s="525"/>
      <c r="H174" s="525"/>
      <c r="I174" s="525"/>
      <c r="J174" s="525"/>
      <c r="K174" s="525"/>
      <c r="L174" s="525"/>
      <c r="M174" s="525"/>
      <c r="N174" s="525"/>
      <c r="O174" s="525"/>
      <c r="P174" s="525"/>
      <c r="Q174" s="525"/>
      <c r="R174" s="525"/>
      <c r="S174" s="525"/>
      <c r="T174" s="525"/>
      <c r="U174" s="525"/>
      <c r="V174" s="525"/>
      <c r="W174" s="525"/>
      <c r="X174" s="525"/>
      <c r="Y174" s="525"/>
      <c r="Z174" s="525"/>
      <c r="AA174" s="525"/>
      <c r="AB174" s="525"/>
      <c r="AC174" s="525"/>
      <c r="AD174" s="525"/>
      <c r="AE174" s="525"/>
      <c r="AF174" s="525"/>
      <c r="AG174" s="525"/>
      <c r="AH174" s="525"/>
      <c r="AI174" s="525"/>
      <c r="AJ174" s="526"/>
      <c r="AK174" s="11"/>
    </row>
    <row r="175" spans="1:37" s="2" customFormat="1" ht="21.75" customHeight="1" thickBot="1" x14ac:dyDescent="0.25">
      <c r="A175" s="574"/>
      <c r="B175" s="528"/>
      <c r="C175" s="421" t="s">
        <v>4</v>
      </c>
      <c r="D175" s="77">
        <v>1</v>
      </c>
      <c r="E175" s="77" t="s">
        <v>5</v>
      </c>
      <c r="F175" s="77"/>
      <c r="G175" s="77" t="s">
        <v>6</v>
      </c>
      <c r="H175" s="77" t="s">
        <v>10</v>
      </c>
      <c r="I175" s="77">
        <v>45429</v>
      </c>
      <c r="J175" s="77" t="s">
        <v>59</v>
      </c>
      <c r="K175" s="77">
        <v>123457</v>
      </c>
      <c r="L175" s="78">
        <v>1</v>
      </c>
      <c r="M175" s="78">
        <v>1</v>
      </c>
      <c r="N175" s="78">
        <v>1</v>
      </c>
      <c r="O175" s="79">
        <v>54.5</v>
      </c>
      <c r="P175" s="80">
        <v>12300194136</v>
      </c>
      <c r="Q175" s="181" t="s">
        <v>17</v>
      </c>
      <c r="R175" s="80" t="s">
        <v>9</v>
      </c>
      <c r="S175" s="81" t="s">
        <v>13</v>
      </c>
      <c r="T175" s="78"/>
      <c r="U175" s="78"/>
      <c r="V175" s="82"/>
      <c r="W175" s="78"/>
      <c r="X175" s="82"/>
      <c r="Y175" s="79">
        <v>1</v>
      </c>
      <c r="Z175" s="78"/>
      <c r="AA175" s="82"/>
      <c r="AB175" s="81" t="s">
        <v>13</v>
      </c>
      <c r="AC175" s="81">
        <v>2</v>
      </c>
      <c r="AD175" s="79">
        <v>2</v>
      </c>
      <c r="AE175" s="81" t="s">
        <v>118</v>
      </c>
      <c r="AF175" s="83" t="s">
        <v>119</v>
      </c>
      <c r="AG175" s="208">
        <v>2.5</v>
      </c>
      <c r="AH175" s="79" t="s">
        <v>67</v>
      </c>
      <c r="AI175" s="78"/>
      <c r="AJ175" s="84"/>
      <c r="AK175" s="11"/>
    </row>
    <row r="176" spans="1:37" s="211" customFormat="1" ht="13.5" customHeight="1" thickBot="1" x14ac:dyDescent="0.3">
      <c r="A176" s="245"/>
      <c r="B176" s="246"/>
      <c r="C176" s="412"/>
      <c r="D176" s="247"/>
      <c r="E176" s="247"/>
      <c r="F176" s="247"/>
      <c r="G176" s="247"/>
      <c r="H176" s="247"/>
      <c r="I176" s="247"/>
      <c r="J176" s="247"/>
      <c r="K176" s="247"/>
      <c r="L176" s="247"/>
      <c r="M176" s="247"/>
      <c r="N176" s="247"/>
      <c r="O176" s="247"/>
      <c r="P176" s="248"/>
      <c r="Q176" s="249"/>
      <c r="R176" s="247"/>
      <c r="S176" s="247"/>
      <c r="T176" s="247"/>
      <c r="U176" s="247"/>
      <c r="V176" s="247"/>
      <c r="W176" s="248"/>
      <c r="X176" s="247"/>
      <c r="Y176" s="248"/>
      <c r="Z176" s="248"/>
      <c r="AA176" s="247"/>
      <c r="AB176" s="248"/>
      <c r="AC176" s="247"/>
      <c r="AD176" s="247"/>
      <c r="AE176" s="248"/>
      <c r="AF176" s="247"/>
      <c r="AG176" s="247"/>
      <c r="AH176" s="248"/>
      <c r="AI176" s="247"/>
      <c r="AJ176" s="413"/>
      <c r="AK176" s="404"/>
    </row>
    <row r="177" spans="1:37" ht="19.5" customHeight="1" x14ac:dyDescent="0.25">
      <c r="A177" s="566">
        <v>31</v>
      </c>
      <c r="B177" s="569" t="s">
        <v>131</v>
      </c>
      <c r="C177" s="98" t="s">
        <v>4</v>
      </c>
      <c r="D177" s="72">
        <v>1</v>
      </c>
      <c r="E177" s="72" t="s">
        <v>5</v>
      </c>
      <c r="F177" s="72"/>
      <c r="G177" s="72" t="s">
        <v>6</v>
      </c>
      <c r="H177" s="72" t="s">
        <v>10</v>
      </c>
      <c r="I177" s="72">
        <v>45429</v>
      </c>
      <c r="J177" s="72" t="s">
        <v>59</v>
      </c>
      <c r="K177" s="72">
        <v>123456</v>
      </c>
      <c r="L177" s="73">
        <v>1</v>
      </c>
      <c r="M177" s="73">
        <v>1</v>
      </c>
      <c r="N177" s="73">
        <v>1</v>
      </c>
      <c r="O177" s="74">
        <v>6.5</v>
      </c>
      <c r="P177" s="73">
        <v>26100005738</v>
      </c>
      <c r="Q177" s="72" t="s">
        <v>15</v>
      </c>
      <c r="R177" s="73" t="s">
        <v>7</v>
      </c>
      <c r="S177" s="73" t="s">
        <v>8</v>
      </c>
      <c r="T177" s="73"/>
      <c r="U177" s="73"/>
      <c r="V177" s="74"/>
      <c r="W177" s="73"/>
      <c r="X177" s="74"/>
      <c r="Y177" s="74"/>
      <c r="Z177" s="73"/>
      <c r="AA177" s="74"/>
      <c r="AB177" s="73"/>
      <c r="AC177" s="73"/>
      <c r="AD177" s="74"/>
      <c r="AE177" s="73"/>
      <c r="AF177" s="73" t="s">
        <v>119</v>
      </c>
      <c r="AG177" s="74">
        <v>0.25</v>
      </c>
      <c r="AH177" s="73"/>
      <c r="AI177" s="73"/>
      <c r="AJ177" s="75"/>
    </row>
    <row r="178" spans="1:37" s="2" customFormat="1" ht="19.5" customHeight="1" x14ac:dyDescent="0.2">
      <c r="A178" s="567"/>
      <c r="B178" s="570"/>
      <c r="C178" s="524"/>
      <c r="D178" s="525"/>
      <c r="E178" s="525"/>
      <c r="F178" s="525"/>
      <c r="G178" s="525"/>
      <c r="H178" s="525"/>
      <c r="I178" s="525"/>
      <c r="J178" s="525"/>
      <c r="K178" s="525"/>
      <c r="L178" s="525"/>
      <c r="M178" s="525"/>
      <c r="N178" s="525"/>
      <c r="O178" s="525"/>
      <c r="P178" s="525"/>
      <c r="Q178" s="525"/>
      <c r="R178" s="525"/>
      <c r="S178" s="525"/>
      <c r="T178" s="525"/>
      <c r="U178" s="525"/>
      <c r="V178" s="525"/>
      <c r="W178" s="525"/>
      <c r="X178" s="525"/>
      <c r="Y178" s="525"/>
      <c r="Z178" s="525"/>
      <c r="AA178" s="525"/>
      <c r="AB178" s="525"/>
      <c r="AC178" s="525"/>
      <c r="AD178" s="525"/>
      <c r="AE178" s="525"/>
      <c r="AF178" s="525"/>
      <c r="AG178" s="525"/>
      <c r="AH178" s="525"/>
      <c r="AI178" s="525"/>
      <c r="AJ178" s="526"/>
      <c r="AK178" s="11"/>
    </row>
    <row r="179" spans="1:37" ht="19.5" customHeight="1" x14ac:dyDescent="0.25">
      <c r="A179" s="567"/>
      <c r="B179" s="571"/>
      <c r="C179" s="123" t="s">
        <v>4</v>
      </c>
      <c r="D179" s="14">
        <v>1</v>
      </c>
      <c r="E179" s="14" t="s">
        <v>5</v>
      </c>
      <c r="F179" s="14"/>
      <c r="G179" s="14" t="s">
        <v>6</v>
      </c>
      <c r="H179" s="14" t="s">
        <v>10</v>
      </c>
      <c r="I179" s="14">
        <v>45429</v>
      </c>
      <c r="J179" s="14" t="s">
        <v>59</v>
      </c>
      <c r="K179" s="14">
        <v>123456</v>
      </c>
      <c r="L179" s="389">
        <v>1</v>
      </c>
      <c r="M179" s="389">
        <v>1</v>
      </c>
      <c r="N179" s="389">
        <v>1</v>
      </c>
      <c r="O179" s="28">
        <v>5.7</v>
      </c>
      <c r="P179" s="389">
        <v>26100005738</v>
      </c>
      <c r="Q179" s="14" t="s">
        <v>15</v>
      </c>
      <c r="R179" s="389" t="s">
        <v>7</v>
      </c>
      <c r="S179" s="25" t="s">
        <v>13</v>
      </c>
      <c r="T179" s="25" t="s">
        <v>13</v>
      </c>
      <c r="U179" s="25">
        <v>2</v>
      </c>
      <c r="V179" s="28">
        <v>0.1</v>
      </c>
      <c r="W179" s="389"/>
      <c r="X179" s="26"/>
      <c r="Y179" s="28">
        <v>0.5</v>
      </c>
      <c r="Z179" s="393"/>
      <c r="AA179" s="150"/>
      <c r="AB179" s="25" t="s">
        <v>13</v>
      </c>
      <c r="AC179" s="25">
        <v>2</v>
      </c>
      <c r="AD179" s="28">
        <v>0.2</v>
      </c>
      <c r="AE179" s="25" t="s">
        <v>118</v>
      </c>
      <c r="AF179" s="59" t="s">
        <v>119</v>
      </c>
      <c r="AG179" s="207">
        <v>0.25</v>
      </c>
      <c r="AH179" s="28" t="s">
        <v>67</v>
      </c>
      <c r="AI179" s="389"/>
      <c r="AJ179" s="390"/>
    </row>
    <row r="180" spans="1:37" ht="19.5" customHeight="1" x14ac:dyDescent="0.25">
      <c r="A180" s="567"/>
      <c r="B180" s="571"/>
      <c r="C180" s="123" t="s">
        <v>4</v>
      </c>
      <c r="D180" s="14">
        <v>1</v>
      </c>
      <c r="E180" s="14" t="s">
        <v>5</v>
      </c>
      <c r="F180" s="14"/>
      <c r="G180" s="14" t="s">
        <v>6</v>
      </c>
      <c r="H180" s="14" t="s">
        <v>10</v>
      </c>
      <c r="I180" s="14">
        <v>45429</v>
      </c>
      <c r="J180" s="14" t="s">
        <v>60</v>
      </c>
      <c r="K180" s="14">
        <v>123456</v>
      </c>
      <c r="L180" s="389">
        <v>2</v>
      </c>
      <c r="M180" s="389">
        <v>1</v>
      </c>
      <c r="N180" s="389">
        <v>1</v>
      </c>
      <c r="O180" s="28">
        <v>4.7</v>
      </c>
      <c r="P180" s="389">
        <v>26100005738</v>
      </c>
      <c r="Q180" s="14" t="s">
        <v>15</v>
      </c>
      <c r="R180" s="389" t="s">
        <v>7</v>
      </c>
      <c r="S180" s="25" t="s">
        <v>13</v>
      </c>
      <c r="T180" s="25" t="s">
        <v>13</v>
      </c>
      <c r="U180" s="25">
        <v>2</v>
      </c>
      <c r="V180" s="28">
        <v>0.1</v>
      </c>
      <c r="W180" s="389"/>
      <c r="X180" s="26"/>
      <c r="Y180" s="60">
        <v>0.5</v>
      </c>
      <c r="Z180" s="148">
        <v>526100210762</v>
      </c>
      <c r="AA180" s="148">
        <v>1</v>
      </c>
      <c r="AB180" s="152" t="s">
        <v>13</v>
      </c>
      <c r="AC180" s="25">
        <v>2</v>
      </c>
      <c r="AD180" s="28">
        <v>0.2</v>
      </c>
      <c r="AE180" s="25" t="s">
        <v>118</v>
      </c>
      <c r="AF180" s="59" t="s">
        <v>119</v>
      </c>
      <c r="AG180" s="207">
        <v>0.25</v>
      </c>
      <c r="AH180" s="28" t="s">
        <v>67</v>
      </c>
      <c r="AI180" s="389"/>
      <c r="AJ180" s="390"/>
    </row>
    <row r="181" spans="1:37" s="2" customFormat="1" ht="19.5" customHeight="1" x14ac:dyDescent="0.2">
      <c r="A181" s="567"/>
      <c r="B181" s="571"/>
      <c r="C181" s="524"/>
      <c r="D181" s="525"/>
      <c r="E181" s="525"/>
      <c r="F181" s="525"/>
      <c r="G181" s="525"/>
      <c r="H181" s="525"/>
      <c r="I181" s="525"/>
      <c r="J181" s="525"/>
      <c r="K181" s="525"/>
      <c r="L181" s="525"/>
      <c r="M181" s="525"/>
      <c r="N181" s="525"/>
      <c r="O181" s="525"/>
      <c r="P181" s="525"/>
      <c r="Q181" s="525"/>
      <c r="R181" s="525"/>
      <c r="S181" s="525"/>
      <c r="T181" s="525"/>
      <c r="U181" s="525"/>
      <c r="V181" s="525"/>
      <c r="W181" s="525"/>
      <c r="X181" s="525"/>
      <c r="Y181" s="525"/>
      <c r="Z181" s="525"/>
      <c r="AA181" s="525"/>
      <c r="AB181" s="525"/>
      <c r="AC181" s="525"/>
      <c r="AD181" s="525"/>
      <c r="AE181" s="525"/>
      <c r="AF181" s="525"/>
      <c r="AG181" s="525"/>
      <c r="AH181" s="525"/>
      <c r="AI181" s="525"/>
      <c r="AJ181" s="526"/>
      <c r="AK181" s="11"/>
    </row>
    <row r="182" spans="1:37" ht="19.5" customHeight="1" thickBot="1" x14ac:dyDescent="0.3">
      <c r="A182" s="568"/>
      <c r="B182" s="551"/>
      <c r="C182" s="122" t="s">
        <v>4</v>
      </c>
      <c r="D182" s="91">
        <v>1</v>
      </c>
      <c r="E182" s="91" t="s">
        <v>5</v>
      </c>
      <c r="F182" s="91"/>
      <c r="G182" s="91" t="s">
        <v>6</v>
      </c>
      <c r="H182" s="91" t="s">
        <v>10</v>
      </c>
      <c r="I182" s="91">
        <v>45429</v>
      </c>
      <c r="J182" s="91" t="s">
        <v>59</v>
      </c>
      <c r="K182" s="91">
        <v>123456</v>
      </c>
      <c r="L182" s="88">
        <v>1</v>
      </c>
      <c r="M182" s="88">
        <v>1</v>
      </c>
      <c r="N182" s="88">
        <v>2</v>
      </c>
      <c r="O182" s="79">
        <v>5.2</v>
      </c>
      <c r="P182" s="88">
        <v>26100005738</v>
      </c>
      <c r="Q182" s="91" t="s">
        <v>15</v>
      </c>
      <c r="R182" s="88" t="s">
        <v>7</v>
      </c>
      <c r="S182" s="81" t="s">
        <v>13</v>
      </c>
      <c r="T182" s="81" t="s">
        <v>13</v>
      </c>
      <c r="U182" s="81">
        <v>2</v>
      </c>
      <c r="V182" s="79">
        <v>0.1</v>
      </c>
      <c r="W182" s="88"/>
      <c r="X182" s="89"/>
      <c r="Y182" s="79">
        <v>0.5</v>
      </c>
      <c r="Z182" s="79">
        <v>526100210762</v>
      </c>
      <c r="AA182" s="79">
        <v>0.5</v>
      </c>
      <c r="AB182" s="81" t="s">
        <v>13</v>
      </c>
      <c r="AC182" s="81">
        <v>2</v>
      </c>
      <c r="AD182" s="79">
        <v>0.2</v>
      </c>
      <c r="AE182" s="79" t="s">
        <v>118</v>
      </c>
      <c r="AF182" s="83" t="s">
        <v>119</v>
      </c>
      <c r="AG182" s="208">
        <v>0.25</v>
      </c>
      <c r="AH182" s="79" t="s">
        <v>67</v>
      </c>
      <c r="AI182" s="88"/>
      <c r="AJ182" s="90"/>
    </row>
  </sheetData>
  <mergeCells count="94">
    <mergeCell ref="C83:AJ83"/>
    <mergeCell ref="C85:AJ85"/>
    <mergeCell ref="C90:AJ90"/>
    <mergeCell ref="C92:AJ92"/>
    <mergeCell ref="C100:AJ100"/>
    <mergeCell ref="C105:AJ105"/>
    <mergeCell ref="C112:AJ112"/>
    <mergeCell ref="C115:AJ115"/>
    <mergeCell ref="C117:AJ117"/>
    <mergeCell ref="C128:AJ128"/>
    <mergeCell ref="C76:AJ76"/>
    <mergeCell ref="C78:AJ78"/>
    <mergeCell ref="C53:AJ53"/>
    <mergeCell ref="C58:AJ58"/>
    <mergeCell ref="C60:AJ60"/>
    <mergeCell ref="C64:AJ64"/>
    <mergeCell ref="C69:AJ69"/>
    <mergeCell ref="C71:AJ71"/>
    <mergeCell ref="C37:AJ37"/>
    <mergeCell ref="C39:AJ39"/>
    <mergeCell ref="C44:AJ44"/>
    <mergeCell ref="C46:AJ46"/>
    <mergeCell ref="C51:AJ51"/>
    <mergeCell ref="C22:AJ22"/>
    <mergeCell ref="C25:AJ25"/>
    <mergeCell ref="C27:AJ27"/>
    <mergeCell ref="C30:AJ30"/>
    <mergeCell ref="C32:AJ32"/>
    <mergeCell ref="B144:B155"/>
    <mergeCell ref="A95:B100"/>
    <mergeCell ref="A120:A125"/>
    <mergeCell ref="B120:B125"/>
    <mergeCell ref="A110:A118"/>
    <mergeCell ref="B127:B132"/>
    <mergeCell ref="B110:B118"/>
    <mergeCell ref="B101:B108"/>
    <mergeCell ref="A101:A108"/>
    <mergeCell ref="A127:A132"/>
    <mergeCell ref="C135:AJ135"/>
    <mergeCell ref="C138:AJ138"/>
    <mergeCell ref="C140:AJ140"/>
    <mergeCell ref="A157:A168"/>
    <mergeCell ref="B157:B168"/>
    <mergeCell ref="C164:AJ164"/>
    <mergeCell ref="C167:AJ167"/>
    <mergeCell ref="C146:AJ146"/>
    <mergeCell ref="C149:AJ149"/>
    <mergeCell ref="C151:AJ151"/>
    <mergeCell ref="C154:AJ154"/>
    <mergeCell ref="C159:AJ159"/>
    <mergeCell ref="C162:AJ162"/>
    <mergeCell ref="A134:A142"/>
    <mergeCell ref="B134:B142"/>
    <mergeCell ref="A144:A155"/>
    <mergeCell ref="B35:B40"/>
    <mergeCell ref="B81:B86"/>
    <mergeCell ref="B88:B93"/>
    <mergeCell ref="B49:B54"/>
    <mergeCell ref="A63:A65"/>
    <mergeCell ref="B63:B65"/>
    <mergeCell ref="A81:A86"/>
    <mergeCell ref="A74:A79"/>
    <mergeCell ref="B42:B47"/>
    <mergeCell ref="A42:A47"/>
    <mergeCell ref="A88:A93"/>
    <mergeCell ref="B74:B79"/>
    <mergeCell ref="A67:A72"/>
    <mergeCell ref="B67:B72"/>
    <mergeCell ref="A56:A61"/>
    <mergeCell ref="B56:B61"/>
    <mergeCell ref="C131:AJ131"/>
    <mergeCell ref="C1:J1"/>
    <mergeCell ref="B5:B10"/>
    <mergeCell ref="C9:AJ9"/>
    <mergeCell ref="B11:AJ11"/>
    <mergeCell ref="P1:R1"/>
    <mergeCell ref="A4:B4"/>
    <mergeCell ref="A5:A10"/>
    <mergeCell ref="B12:B17"/>
    <mergeCell ref="C13:AJ13"/>
    <mergeCell ref="C16:AJ16"/>
    <mergeCell ref="A12:A17"/>
    <mergeCell ref="A49:A54"/>
    <mergeCell ref="B19:B33"/>
    <mergeCell ref="A19:A33"/>
    <mergeCell ref="A35:A40"/>
    <mergeCell ref="A177:A182"/>
    <mergeCell ref="B177:B182"/>
    <mergeCell ref="C178:AJ178"/>
    <mergeCell ref="C181:AJ181"/>
    <mergeCell ref="A170:A175"/>
    <mergeCell ref="B170:B175"/>
    <mergeCell ref="C172:AJ172"/>
    <mergeCell ref="C174:AJ174"/>
  </mergeCells>
  <phoneticPr fontId="16" type="noConversion"/>
  <pageMargins left="0.25" right="0.25" top="0.75" bottom="0.75" header="0.3" footer="0.3"/>
  <pageSetup paperSize="17" scale="51" fitToHeight="0" orientation="landscape" r:id="rId1"/>
  <rowBreaks count="1" manualBreakCount="1">
    <brk id="94" max="35" man="1"/>
  </rowBreaks>
  <ignoredErrors>
    <ignoredError sqref="P79 P75 P77"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95581-774B-4519-9C00-B74F722ECBDF}">
  <sheetPr>
    <tabColor theme="4" tint="0.59999389629810485"/>
    <pageSetUpPr fitToPage="1"/>
  </sheetPr>
  <dimension ref="A1:DJ76"/>
  <sheetViews>
    <sheetView showGridLines="0" zoomScale="73" zoomScaleNormal="80" workbookViewId="0">
      <selection activeCell="N4" sqref="N4"/>
    </sheetView>
  </sheetViews>
  <sheetFormatPr defaultColWidth="9.28515625" defaultRowHeight="18.75" x14ac:dyDescent="0.3"/>
  <cols>
    <col min="1" max="1" width="13.85546875" style="276" customWidth="1"/>
    <col min="2" max="2" width="26.28515625" style="277" customWidth="1"/>
    <col min="3" max="3" width="43.42578125" style="277" customWidth="1"/>
    <col min="4" max="4" width="9.5703125" style="217" bestFit="1" customWidth="1"/>
    <col min="5" max="5" width="10.7109375" style="217" customWidth="1"/>
    <col min="6" max="6" width="12.85546875" style="217" bestFit="1" customWidth="1"/>
    <col min="7" max="7" width="12.42578125" style="217" bestFit="1" customWidth="1"/>
    <col min="8" max="8" width="12.7109375" style="217" bestFit="1" customWidth="1"/>
    <col min="9" max="9" width="14.140625" style="217" bestFit="1" customWidth="1"/>
    <col min="10" max="10" width="16.28515625" style="217" customWidth="1"/>
    <col min="11" max="11" width="27" style="217" customWidth="1"/>
    <col min="12" max="12" width="17" style="217" customWidth="1"/>
    <col min="13" max="15" width="4.5703125" style="217" customWidth="1"/>
    <col min="16" max="16" width="12.140625" style="278" customWidth="1"/>
    <col min="17" max="17" width="18" style="279" bestFit="1" customWidth="1"/>
    <col min="18" max="18" width="36.7109375" style="217" bestFit="1" customWidth="1"/>
    <col min="19" max="19" width="11.42578125" style="217" bestFit="1" customWidth="1"/>
    <col min="20" max="20" width="3.85546875" style="217" bestFit="1" customWidth="1"/>
    <col min="21" max="21" width="6.7109375" style="217" bestFit="1" customWidth="1"/>
    <col min="22" max="22" width="8.28515625" style="217" bestFit="1" customWidth="1"/>
    <col min="23" max="23" width="8.28515625" style="278" bestFit="1" customWidth="1"/>
    <col min="24" max="24" width="5.85546875" style="217" bestFit="1" customWidth="1"/>
    <col min="25" max="26" width="4.5703125" style="278" customWidth="1"/>
    <col min="27" max="27" width="17" style="217" bestFit="1" customWidth="1"/>
    <col min="28" max="28" width="5" style="278" bestFit="1" customWidth="1"/>
    <col min="29" max="29" width="4.140625" style="217" bestFit="1" customWidth="1"/>
    <col min="30" max="30" width="6" style="217" bestFit="1" customWidth="1"/>
    <col min="31" max="31" width="6" style="278" bestFit="1" customWidth="1"/>
    <col min="32" max="32" width="9.28515625" style="217" bestFit="1" customWidth="1"/>
    <col min="33" max="33" width="16" style="217" bestFit="1" customWidth="1"/>
    <col min="34" max="34" width="6" style="278" customWidth="1"/>
    <col min="35" max="35" width="8.85546875" style="217" bestFit="1" customWidth="1"/>
    <col min="36" max="36" width="16.7109375" style="217" customWidth="1"/>
    <col min="37" max="37" width="20.85546875" style="217" customWidth="1"/>
    <col min="38" max="16384" width="9.28515625" style="218"/>
  </cols>
  <sheetData>
    <row r="1" spans="1:37" ht="36.75" customHeight="1" thickBot="1" x14ac:dyDescent="0.3">
      <c r="A1" s="620" t="s">
        <v>329</v>
      </c>
      <c r="B1" s="620"/>
      <c r="C1" s="620"/>
      <c r="D1" s="620"/>
      <c r="E1" s="620"/>
      <c r="F1" s="620"/>
      <c r="G1" s="620"/>
      <c r="H1" s="620"/>
      <c r="I1" s="620"/>
      <c r="J1" s="620"/>
      <c r="K1" s="620"/>
      <c r="L1" s="620"/>
      <c r="M1" s="214"/>
      <c r="N1" s="615" t="s">
        <v>83</v>
      </c>
      <c r="O1" s="616"/>
      <c r="P1" s="616"/>
      <c r="Q1" s="616"/>
      <c r="R1" s="616"/>
      <c r="S1" s="616"/>
      <c r="T1" s="616"/>
      <c r="U1" s="616"/>
      <c r="V1" s="215"/>
      <c r="W1" s="215"/>
      <c r="X1" s="215"/>
      <c r="Y1" s="215"/>
      <c r="Z1" s="215"/>
      <c r="AA1" s="215"/>
      <c r="AB1" s="215"/>
      <c r="AC1" s="215"/>
      <c r="AD1" s="215"/>
      <c r="AE1" s="215"/>
      <c r="AF1" s="215"/>
      <c r="AG1" s="215"/>
      <c r="AH1" s="215"/>
      <c r="AI1" s="216"/>
    </row>
    <row r="2" spans="1:37" s="220" customFormat="1" ht="26.25" customHeight="1" thickBot="1" x14ac:dyDescent="0.3">
      <c r="A2" s="621" t="s">
        <v>151</v>
      </c>
      <c r="B2" s="621"/>
      <c r="C2" s="621"/>
      <c r="D2" s="621"/>
      <c r="E2" s="621"/>
      <c r="F2" s="621"/>
      <c r="G2" s="621"/>
      <c r="H2" s="621"/>
      <c r="I2" s="621"/>
      <c r="J2" s="621"/>
      <c r="K2" s="621"/>
      <c r="L2" s="621"/>
      <c r="M2" s="219"/>
      <c r="N2" s="610" t="s">
        <v>58</v>
      </c>
      <c r="O2" s="611"/>
      <c r="P2" s="611"/>
      <c r="Q2" s="611"/>
      <c r="R2" s="611"/>
      <c r="S2" s="611"/>
      <c r="T2" s="611"/>
      <c r="U2" s="612"/>
      <c r="V2" s="215"/>
      <c r="W2" s="215"/>
      <c r="X2" s="215"/>
      <c r="Y2" s="215"/>
      <c r="Z2" s="215"/>
      <c r="AA2" s="215"/>
      <c r="AB2" s="215"/>
      <c r="AC2" s="215"/>
      <c r="AD2" s="215"/>
      <c r="AE2" s="215"/>
      <c r="AF2" s="215"/>
      <c r="AG2" s="215"/>
      <c r="AH2" s="215"/>
      <c r="AI2" s="215"/>
      <c r="AJ2" s="625" t="s">
        <v>155</v>
      </c>
      <c r="AK2" s="623" t="s">
        <v>271</v>
      </c>
    </row>
    <row r="3" spans="1:37" s="220" customFormat="1" ht="26.25" customHeight="1" x14ac:dyDescent="0.25">
      <c r="A3" s="621" t="s">
        <v>152</v>
      </c>
      <c r="B3" s="621"/>
      <c r="C3" s="621"/>
      <c r="D3" s="621"/>
      <c r="E3" s="621"/>
      <c r="F3" s="621"/>
      <c r="G3" s="621"/>
      <c r="H3" s="621"/>
      <c r="I3" s="621"/>
      <c r="J3" s="621"/>
      <c r="K3" s="621"/>
      <c r="L3" s="621"/>
      <c r="M3" s="219"/>
      <c r="N3" s="219"/>
      <c r="O3" s="219"/>
      <c r="P3" s="219"/>
      <c r="Q3" s="215"/>
      <c r="R3" s="215"/>
      <c r="S3" s="215"/>
      <c r="T3" s="215"/>
      <c r="U3" s="215"/>
      <c r="V3" s="215"/>
      <c r="W3" s="215"/>
      <c r="X3" s="215"/>
      <c r="Y3" s="215"/>
      <c r="Z3" s="215"/>
      <c r="AA3" s="215"/>
      <c r="AB3" s="215"/>
      <c r="AC3" s="215"/>
      <c r="AD3" s="215"/>
      <c r="AE3" s="215"/>
      <c r="AF3" s="215"/>
      <c r="AG3" s="215"/>
      <c r="AH3" s="215"/>
      <c r="AI3" s="215"/>
      <c r="AJ3" s="625"/>
      <c r="AK3" s="623"/>
    </row>
    <row r="4" spans="1:37" s="220" customFormat="1" ht="26.25" customHeight="1" x14ac:dyDescent="0.25">
      <c r="A4" s="621" t="s">
        <v>153</v>
      </c>
      <c r="B4" s="621"/>
      <c r="C4" s="621"/>
      <c r="D4" s="621"/>
      <c r="E4" s="621"/>
      <c r="F4" s="621"/>
      <c r="G4" s="621"/>
      <c r="H4" s="621"/>
      <c r="I4" s="621"/>
      <c r="J4" s="621"/>
      <c r="K4" s="621"/>
      <c r="L4" s="621"/>
      <c r="M4" s="219"/>
      <c r="N4" s="219"/>
      <c r="O4" s="219"/>
      <c r="P4" s="219"/>
      <c r="Q4" s="221"/>
      <c r="R4" s="216"/>
      <c r="S4" s="216"/>
      <c r="T4" s="216"/>
      <c r="U4" s="216"/>
      <c r="V4" s="216"/>
      <c r="W4" s="222"/>
      <c r="X4" s="216"/>
      <c r="Y4" s="222"/>
      <c r="Z4" s="222"/>
      <c r="AA4" s="216"/>
      <c r="AB4" s="222"/>
      <c r="AC4" s="216"/>
      <c r="AD4" s="216"/>
      <c r="AE4" s="222"/>
      <c r="AF4" s="216"/>
      <c r="AG4" s="216"/>
      <c r="AH4" s="222"/>
      <c r="AI4" s="215"/>
      <c r="AJ4" s="625"/>
      <c r="AK4" s="623"/>
    </row>
    <row r="5" spans="1:37" s="220" customFormat="1" ht="15.75" customHeight="1" x14ac:dyDescent="0.25">
      <c r="A5" s="223"/>
      <c r="B5" s="224"/>
      <c r="C5" s="224"/>
      <c r="D5" s="225"/>
      <c r="E5" s="225"/>
      <c r="F5" s="225"/>
      <c r="G5" s="225"/>
      <c r="H5" s="225"/>
      <c r="I5" s="225"/>
      <c r="J5" s="225"/>
      <c r="K5" s="226"/>
      <c r="L5" s="227"/>
      <c r="M5" s="227"/>
      <c r="N5" s="227"/>
      <c r="O5" s="227"/>
      <c r="P5" s="228"/>
      <c r="Q5" s="221"/>
      <c r="R5" s="216"/>
      <c r="S5" s="216"/>
      <c r="T5" s="216"/>
      <c r="U5" s="216"/>
      <c r="V5" s="216"/>
      <c r="W5" s="222"/>
      <c r="X5" s="216"/>
      <c r="Y5" s="222"/>
      <c r="Z5" s="222"/>
      <c r="AA5" s="216"/>
      <c r="AB5" s="222"/>
      <c r="AC5" s="216"/>
      <c r="AD5" s="216"/>
      <c r="AE5" s="222"/>
      <c r="AF5" s="216"/>
      <c r="AG5" s="216"/>
      <c r="AH5" s="222"/>
      <c r="AI5" s="215"/>
      <c r="AJ5" s="625"/>
      <c r="AK5" s="623"/>
    </row>
    <row r="6" spans="1:37" s="220" customFormat="1" ht="15.75" customHeight="1" x14ac:dyDescent="0.25">
      <c r="A6" s="622" t="s">
        <v>330</v>
      </c>
      <c r="B6" s="622"/>
      <c r="C6" s="622"/>
      <c r="D6" s="622"/>
      <c r="E6" s="622"/>
      <c r="F6" s="622"/>
      <c r="G6" s="225"/>
      <c r="H6" s="225"/>
      <c r="I6" s="225"/>
      <c r="J6" s="225"/>
      <c r="K6" s="226"/>
      <c r="L6" s="227"/>
      <c r="M6" s="227"/>
      <c r="N6" s="227"/>
      <c r="O6" s="227"/>
      <c r="P6" s="228"/>
      <c r="Q6" s="221"/>
      <c r="R6" s="216"/>
      <c r="S6" s="216"/>
      <c r="T6" s="216"/>
      <c r="U6" s="216"/>
      <c r="V6" s="216"/>
      <c r="W6" s="222"/>
      <c r="X6" s="216"/>
      <c r="Y6" s="222"/>
      <c r="Z6" s="222"/>
      <c r="AA6" s="216"/>
      <c r="AB6" s="222"/>
      <c r="AC6" s="216"/>
      <c r="AD6" s="216"/>
      <c r="AE6" s="222"/>
      <c r="AF6" s="216"/>
      <c r="AG6" s="216"/>
      <c r="AH6" s="222"/>
      <c r="AI6" s="215"/>
      <c r="AJ6" s="625"/>
      <c r="AK6" s="623"/>
    </row>
    <row r="7" spans="1:37" s="220" customFormat="1" ht="15.75" customHeight="1" x14ac:dyDescent="0.25">
      <c r="A7" s="622"/>
      <c r="B7" s="622"/>
      <c r="C7" s="622"/>
      <c r="D7" s="622"/>
      <c r="E7" s="622"/>
      <c r="F7" s="622"/>
      <c r="G7" s="225"/>
      <c r="H7" s="225"/>
      <c r="I7" s="225"/>
      <c r="J7" s="225"/>
      <c r="K7" s="226"/>
      <c r="L7" s="227"/>
      <c r="M7" s="227"/>
      <c r="N7" s="227"/>
      <c r="O7" s="227"/>
      <c r="P7" s="228"/>
      <c r="Q7" s="221"/>
      <c r="R7" s="216"/>
      <c r="S7" s="216"/>
      <c r="T7" s="216"/>
      <c r="U7" s="216"/>
      <c r="V7" s="216"/>
      <c r="W7" s="222"/>
      <c r="X7" s="216"/>
      <c r="Y7" s="222"/>
      <c r="Z7" s="222"/>
      <c r="AA7" s="216"/>
      <c r="AB7" s="222"/>
      <c r="AC7" s="216"/>
      <c r="AD7" s="216"/>
      <c r="AE7" s="222"/>
      <c r="AF7" s="216"/>
      <c r="AG7" s="216"/>
      <c r="AH7" s="222"/>
      <c r="AI7" s="215"/>
      <c r="AJ7" s="625"/>
      <c r="AK7" s="623"/>
    </row>
    <row r="8" spans="1:37" s="220" customFormat="1" ht="15.75" customHeight="1" x14ac:dyDescent="0.25">
      <c r="A8" s="622" t="s">
        <v>217</v>
      </c>
      <c r="B8" s="622"/>
      <c r="C8" s="622"/>
      <c r="D8" s="622"/>
      <c r="E8" s="622"/>
      <c r="F8" s="622"/>
      <c r="P8" s="640"/>
      <c r="AJ8" s="625"/>
      <c r="AK8" s="623"/>
    </row>
    <row r="9" spans="1:37" s="220" customFormat="1" ht="11.25" customHeight="1" x14ac:dyDescent="0.25">
      <c r="A9" s="622"/>
      <c r="B9" s="622"/>
      <c r="C9" s="622"/>
      <c r="D9" s="622"/>
      <c r="E9" s="622"/>
      <c r="F9" s="622"/>
      <c r="P9" s="640"/>
      <c r="AJ9" s="625"/>
      <c r="AK9" s="623"/>
    </row>
    <row r="10" spans="1:37" s="220" customFormat="1" ht="15.75" customHeight="1" x14ac:dyDescent="0.25">
      <c r="A10" s="215"/>
      <c r="B10" s="215"/>
      <c r="C10" s="215"/>
      <c r="D10" s="215"/>
      <c r="E10" s="215"/>
      <c r="P10" s="640"/>
      <c r="AJ10" s="625"/>
      <c r="AK10" s="623"/>
    </row>
    <row r="11" spans="1:37" s="220" customFormat="1" ht="40.5" customHeight="1" x14ac:dyDescent="0.3">
      <c r="A11" s="617" t="s">
        <v>166</v>
      </c>
      <c r="B11" s="617"/>
      <c r="C11" s="617"/>
      <c r="D11" s="617"/>
      <c r="E11" s="617"/>
      <c r="F11" s="617"/>
      <c r="G11" s="617"/>
      <c r="H11" s="617"/>
      <c r="I11" s="617"/>
      <c r="J11" s="617"/>
      <c r="K11" s="617"/>
      <c r="L11" s="617"/>
      <c r="P11" s="640"/>
      <c r="AJ11" s="625"/>
      <c r="AK11" s="623"/>
    </row>
    <row r="12" spans="1:37" s="220" customFormat="1" ht="15.75" customHeight="1" x14ac:dyDescent="0.25">
      <c r="A12" s="229"/>
      <c r="B12" s="230"/>
      <c r="C12" s="230"/>
      <c r="D12" s="230"/>
      <c r="E12" s="230"/>
      <c r="F12" s="230"/>
      <c r="G12" s="215"/>
      <c r="H12" s="215"/>
      <c r="P12" s="640"/>
      <c r="AJ12" s="626"/>
      <c r="AK12" s="624"/>
    </row>
    <row r="13" spans="1:37" s="213" customFormat="1" ht="15.75" x14ac:dyDescent="0.25">
      <c r="A13" s="637" t="s">
        <v>331</v>
      </c>
      <c r="B13" s="638"/>
      <c r="C13" s="639"/>
      <c r="D13" s="231">
        <v>1</v>
      </c>
      <c r="E13" s="231">
        <v>2</v>
      </c>
      <c r="F13" s="231">
        <v>3</v>
      </c>
      <c r="G13" s="231">
        <v>4</v>
      </c>
      <c r="H13" s="231">
        <v>5</v>
      </c>
      <c r="I13" s="231">
        <v>6</v>
      </c>
      <c r="J13" s="231">
        <v>7</v>
      </c>
      <c r="K13" s="231">
        <v>8</v>
      </c>
      <c r="L13" s="231">
        <v>9</v>
      </c>
      <c r="M13" s="231">
        <v>10</v>
      </c>
      <c r="N13" s="231">
        <v>11</v>
      </c>
      <c r="O13" s="232">
        <v>12</v>
      </c>
      <c r="P13" s="231">
        <v>13</v>
      </c>
      <c r="Q13" s="233">
        <v>14</v>
      </c>
      <c r="R13" s="231">
        <v>15</v>
      </c>
      <c r="S13" s="231">
        <v>16</v>
      </c>
      <c r="T13" s="231">
        <v>17</v>
      </c>
      <c r="U13" s="231">
        <v>18</v>
      </c>
      <c r="V13" s="231">
        <v>19</v>
      </c>
      <c r="W13" s="231">
        <v>20</v>
      </c>
      <c r="X13" s="231">
        <v>21</v>
      </c>
      <c r="Y13" s="231">
        <v>22</v>
      </c>
      <c r="Z13" s="231">
        <v>23</v>
      </c>
      <c r="AA13" s="231">
        <v>24</v>
      </c>
      <c r="AB13" s="231">
        <v>25</v>
      </c>
      <c r="AC13" s="231">
        <v>26</v>
      </c>
      <c r="AD13" s="231">
        <v>27</v>
      </c>
      <c r="AE13" s="231">
        <v>28</v>
      </c>
      <c r="AF13" s="231">
        <v>29</v>
      </c>
      <c r="AG13" s="231">
        <v>30</v>
      </c>
      <c r="AH13" s="231">
        <v>31</v>
      </c>
      <c r="AI13" s="232">
        <v>32</v>
      </c>
      <c r="AJ13" s="231">
        <v>33</v>
      </c>
      <c r="AK13" s="231">
        <v>34</v>
      </c>
    </row>
    <row r="14" spans="1:37" s="240" customFormat="1" ht="120.75" customHeight="1" x14ac:dyDescent="0.25">
      <c r="A14" s="627"/>
      <c r="B14" s="628"/>
      <c r="C14" s="629"/>
      <c r="D14" s="234" t="s">
        <v>22</v>
      </c>
      <c r="E14" s="234" t="s">
        <v>23</v>
      </c>
      <c r="F14" s="234" t="s">
        <v>24</v>
      </c>
      <c r="G14" s="234" t="s">
        <v>25</v>
      </c>
      <c r="H14" s="234" t="s">
        <v>19</v>
      </c>
      <c r="I14" s="234" t="s">
        <v>20</v>
      </c>
      <c r="J14" s="234" t="s">
        <v>21</v>
      </c>
      <c r="K14" s="234" t="s">
        <v>26</v>
      </c>
      <c r="L14" s="234" t="s">
        <v>27</v>
      </c>
      <c r="M14" s="234" t="s">
        <v>28</v>
      </c>
      <c r="N14" s="234" t="s">
        <v>29</v>
      </c>
      <c r="O14" s="235" t="s">
        <v>0</v>
      </c>
      <c r="P14" s="236" t="s">
        <v>1</v>
      </c>
      <c r="Q14" s="237" t="s">
        <v>30</v>
      </c>
      <c r="R14" s="234" t="s">
        <v>2</v>
      </c>
      <c r="S14" s="234" t="s">
        <v>31</v>
      </c>
      <c r="T14" s="234" t="s">
        <v>32</v>
      </c>
      <c r="U14" s="234" t="s">
        <v>47</v>
      </c>
      <c r="V14" s="234" t="s">
        <v>48</v>
      </c>
      <c r="W14" s="236" t="s">
        <v>49</v>
      </c>
      <c r="X14" s="234" t="s">
        <v>33</v>
      </c>
      <c r="Y14" s="236" t="s">
        <v>34</v>
      </c>
      <c r="Z14" s="236" t="s">
        <v>35</v>
      </c>
      <c r="AA14" s="234" t="s">
        <v>36</v>
      </c>
      <c r="AB14" s="238" t="s">
        <v>37</v>
      </c>
      <c r="AC14" s="234" t="s">
        <v>38</v>
      </c>
      <c r="AD14" s="234" t="s">
        <v>39</v>
      </c>
      <c r="AE14" s="236" t="s">
        <v>40</v>
      </c>
      <c r="AF14" s="234" t="s">
        <v>41</v>
      </c>
      <c r="AG14" s="234" t="s">
        <v>42</v>
      </c>
      <c r="AH14" s="236" t="s">
        <v>43</v>
      </c>
      <c r="AI14" s="235" t="s">
        <v>44</v>
      </c>
      <c r="AJ14" s="234" t="s">
        <v>45</v>
      </c>
      <c r="AK14" s="239" t="s">
        <v>46</v>
      </c>
    </row>
    <row r="15" spans="1:37" s="213" customFormat="1" ht="39" customHeight="1" x14ac:dyDescent="0.25">
      <c r="A15" s="241" t="s">
        <v>156</v>
      </c>
      <c r="B15" s="630" t="s">
        <v>157</v>
      </c>
      <c r="C15" s="630"/>
      <c r="D15" s="242" t="s">
        <v>135</v>
      </c>
      <c r="E15" s="242">
        <v>1</v>
      </c>
      <c r="F15" s="242" t="s">
        <v>5</v>
      </c>
      <c r="G15" s="242"/>
      <c r="H15" s="242" t="s">
        <v>136</v>
      </c>
      <c r="I15" s="242" t="s">
        <v>137</v>
      </c>
      <c r="J15" s="242">
        <v>87106</v>
      </c>
      <c r="K15" s="242" t="s">
        <v>150</v>
      </c>
      <c r="L15" s="242">
        <v>459012345</v>
      </c>
      <c r="M15" s="242">
        <v>1</v>
      </c>
      <c r="N15" s="242">
        <v>1</v>
      </c>
      <c r="O15" s="242">
        <v>1</v>
      </c>
      <c r="P15" s="243">
        <v>8</v>
      </c>
      <c r="Q15" s="244" t="s">
        <v>147</v>
      </c>
      <c r="R15" s="242" t="s">
        <v>148</v>
      </c>
      <c r="S15" s="242" t="s">
        <v>143</v>
      </c>
      <c r="T15" s="242" t="s">
        <v>8</v>
      </c>
      <c r="U15" s="242"/>
      <c r="V15" s="242"/>
      <c r="W15" s="243"/>
      <c r="X15" s="242"/>
      <c r="Y15" s="243"/>
      <c r="Z15" s="243"/>
      <c r="AA15" s="242"/>
      <c r="AB15" s="243"/>
      <c r="AC15" s="242"/>
      <c r="AD15" s="242"/>
      <c r="AE15" s="243"/>
      <c r="AF15" s="242"/>
      <c r="AG15" s="242" t="s">
        <v>119</v>
      </c>
      <c r="AH15" s="243">
        <v>0.5</v>
      </c>
      <c r="AI15" s="242"/>
      <c r="AJ15" s="242"/>
      <c r="AK15" s="242"/>
    </row>
    <row r="16" spans="1:37" s="213" customFormat="1" ht="39" customHeight="1" x14ac:dyDescent="0.25">
      <c r="A16" s="241" t="s">
        <v>156</v>
      </c>
      <c r="B16" s="630" t="s">
        <v>157</v>
      </c>
      <c r="C16" s="630"/>
      <c r="D16" s="242" t="s">
        <v>135</v>
      </c>
      <c r="E16" s="242">
        <v>1</v>
      </c>
      <c r="F16" s="242" t="s">
        <v>5</v>
      </c>
      <c r="G16" s="242"/>
      <c r="H16" s="242" t="s">
        <v>136</v>
      </c>
      <c r="I16" s="242" t="s">
        <v>137</v>
      </c>
      <c r="J16" s="242">
        <v>87106</v>
      </c>
      <c r="K16" s="242" t="s">
        <v>150</v>
      </c>
      <c r="L16" s="242">
        <v>459012345</v>
      </c>
      <c r="M16" s="242">
        <v>1</v>
      </c>
      <c r="N16" s="242">
        <v>1</v>
      </c>
      <c r="O16" s="242">
        <v>1</v>
      </c>
      <c r="P16" s="243">
        <v>10</v>
      </c>
      <c r="Q16" s="244">
        <v>26100005738</v>
      </c>
      <c r="R16" s="242" t="s">
        <v>158</v>
      </c>
      <c r="S16" s="242" t="s">
        <v>143</v>
      </c>
      <c r="T16" s="242" t="s">
        <v>8</v>
      </c>
      <c r="U16" s="242"/>
      <c r="V16" s="242"/>
      <c r="W16" s="243"/>
      <c r="X16" s="242"/>
      <c r="Y16" s="243"/>
      <c r="Z16" s="243"/>
      <c r="AA16" s="242"/>
      <c r="AB16" s="243"/>
      <c r="AC16" s="242"/>
      <c r="AD16" s="242"/>
      <c r="AE16" s="243"/>
      <c r="AF16" s="242"/>
      <c r="AG16" s="242" t="s">
        <v>119</v>
      </c>
      <c r="AH16" s="243">
        <v>0.5</v>
      </c>
      <c r="AI16" s="242"/>
      <c r="AJ16" s="242"/>
      <c r="AK16" s="242"/>
    </row>
    <row r="17" spans="1:37" s="213" customFormat="1" ht="39" customHeight="1" x14ac:dyDescent="0.25">
      <c r="A17" s="241" t="s">
        <v>156</v>
      </c>
      <c r="B17" s="630" t="s">
        <v>157</v>
      </c>
      <c r="C17" s="630"/>
      <c r="D17" s="242" t="s">
        <v>135</v>
      </c>
      <c r="E17" s="242">
        <v>1</v>
      </c>
      <c r="F17" s="242" t="s">
        <v>5</v>
      </c>
      <c r="G17" s="242"/>
      <c r="H17" s="242" t="s">
        <v>136</v>
      </c>
      <c r="I17" s="242" t="s">
        <v>137</v>
      </c>
      <c r="J17" s="242">
        <v>87106</v>
      </c>
      <c r="K17" s="242" t="s">
        <v>150</v>
      </c>
      <c r="L17" s="242">
        <v>459012345</v>
      </c>
      <c r="M17" s="242">
        <v>1</v>
      </c>
      <c r="N17" s="242">
        <v>1</v>
      </c>
      <c r="O17" s="242">
        <v>1</v>
      </c>
      <c r="P17" s="243">
        <v>80</v>
      </c>
      <c r="Q17" s="244" t="s">
        <v>149</v>
      </c>
      <c r="R17" s="242" t="s">
        <v>148</v>
      </c>
      <c r="S17" s="242" t="s">
        <v>146</v>
      </c>
      <c r="T17" s="242" t="s">
        <v>8</v>
      </c>
      <c r="U17" s="242"/>
      <c r="V17" s="242"/>
      <c r="W17" s="243"/>
      <c r="X17" s="242"/>
      <c r="Y17" s="243"/>
      <c r="Z17" s="243"/>
      <c r="AA17" s="242"/>
      <c r="AB17" s="243"/>
      <c r="AC17" s="242"/>
      <c r="AD17" s="242"/>
      <c r="AE17" s="243"/>
      <c r="AF17" s="242"/>
      <c r="AG17" s="242" t="s">
        <v>119</v>
      </c>
      <c r="AH17" s="243">
        <v>0.5</v>
      </c>
      <c r="AI17" s="242"/>
      <c r="AJ17" s="242"/>
      <c r="AK17" s="242"/>
    </row>
    <row r="18" spans="1:37" s="211" customFormat="1" ht="13.5" customHeight="1" x14ac:dyDescent="0.25">
      <c r="A18" s="245"/>
      <c r="B18" s="246"/>
      <c r="C18" s="246"/>
      <c r="D18" s="247"/>
      <c r="E18" s="247"/>
      <c r="F18" s="247"/>
      <c r="G18" s="247"/>
      <c r="H18" s="247"/>
      <c r="I18" s="247"/>
      <c r="J18" s="247"/>
      <c r="K18" s="247"/>
      <c r="L18" s="247"/>
      <c r="M18" s="247"/>
      <c r="N18" s="247"/>
      <c r="O18" s="247"/>
      <c r="P18" s="248"/>
      <c r="Q18" s="249"/>
      <c r="R18" s="247"/>
      <c r="S18" s="247"/>
      <c r="T18" s="247"/>
      <c r="U18" s="247"/>
      <c r="V18" s="247"/>
      <c r="W18" s="248"/>
      <c r="X18" s="247"/>
      <c r="Y18" s="248"/>
      <c r="Z18" s="248"/>
      <c r="AA18" s="247"/>
      <c r="AB18" s="248"/>
      <c r="AC18" s="247"/>
      <c r="AD18" s="247"/>
      <c r="AE18" s="248"/>
      <c r="AF18" s="247"/>
      <c r="AG18" s="247"/>
      <c r="AH18" s="248"/>
      <c r="AI18" s="247"/>
      <c r="AJ18" s="247"/>
      <c r="AK18" s="247"/>
    </row>
    <row r="19" spans="1:37" s="211" customFormat="1" ht="63" customHeight="1" x14ac:dyDescent="0.25">
      <c r="A19" s="250" t="s">
        <v>142</v>
      </c>
      <c r="B19" s="251" t="s">
        <v>182</v>
      </c>
      <c r="C19" s="252" t="s">
        <v>159</v>
      </c>
      <c r="D19" s="253" t="s">
        <v>135</v>
      </c>
      <c r="E19" s="253">
        <v>1</v>
      </c>
      <c r="F19" s="253" t="s">
        <v>5</v>
      </c>
      <c r="G19" s="253"/>
      <c r="H19" s="253" t="s">
        <v>136</v>
      </c>
      <c r="I19" s="253" t="s">
        <v>137</v>
      </c>
      <c r="J19" s="253">
        <v>87106</v>
      </c>
      <c r="K19" s="253" t="s">
        <v>150</v>
      </c>
      <c r="L19" s="254">
        <v>459098765</v>
      </c>
      <c r="M19" s="253">
        <v>1</v>
      </c>
      <c r="N19" s="253">
        <v>1</v>
      </c>
      <c r="O19" s="253">
        <v>1</v>
      </c>
      <c r="P19" s="255">
        <v>7</v>
      </c>
      <c r="Q19" s="256" t="s">
        <v>147</v>
      </c>
      <c r="R19" s="253" t="s">
        <v>148</v>
      </c>
      <c r="S19" s="253" t="s">
        <v>143</v>
      </c>
      <c r="T19" s="257" t="s">
        <v>13</v>
      </c>
      <c r="U19" s="253"/>
      <c r="V19" s="253"/>
      <c r="W19" s="258"/>
      <c r="X19" s="253"/>
      <c r="Y19" s="258"/>
      <c r="Z19" s="258"/>
      <c r="AA19" s="253"/>
      <c r="AB19" s="255">
        <v>1</v>
      </c>
      <c r="AC19" s="253"/>
      <c r="AD19" s="253"/>
      <c r="AE19" s="258"/>
      <c r="AF19" s="253"/>
      <c r="AG19" s="314" t="s">
        <v>119</v>
      </c>
      <c r="AH19" s="372">
        <v>0.5</v>
      </c>
      <c r="AI19" s="253"/>
      <c r="AJ19" s="257" t="s">
        <v>139</v>
      </c>
      <c r="AK19" s="259">
        <v>11123</v>
      </c>
    </row>
    <row r="20" spans="1:37" s="211" customFormat="1" ht="13.5" customHeight="1" x14ac:dyDescent="0.25">
      <c r="A20" s="618"/>
      <c r="B20" s="619"/>
      <c r="C20" s="619"/>
      <c r="D20" s="619"/>
      <c r="E20" s="619"/>
      <c r="F20" s="619"/>
      <c r="G20" s="619"/>
      <c r="H20" s="619"/>
      <c r="I20" s="619"/>
      <c r="J20" s="619"/>
      <c r="K20" s="619"/>
      <c r="L20" s="619"/>
      <c r="M20" s="619"/>
      <c r="N20" s="619"/>
      <c r="O20" s="619"/>
      <c r="P20" s="619"/>
      <c r="Q20" s="619"/>
      <c r="R20" s="619"/>
      <c r="S20" s="619"/>
      <c r="T20" s="619"/>
      <c r="U20" s="619"/>
      <c r="V20" s="619"/>
      <c r="W20" s="619"/>
      <c r="X20" s="619"/>
      <c r="Y20" s="619"/>
      <c r="Z20" s="619"/>
      <c r="AA20" s="619"/>
      <c r="AB20" s="619"/>
      <c r="AC20" s="619"/>
      <c r="AD20" s="619"/>
      <c r="AE20" s="619"/>
      <c r="AF20" s="619"/>
      <c r="AG20" s="619"/>
      <c r="AH20" s="619"/>
      <c r="AI20" s="619"/>
      <c r="AJ20" s="619"/>
      <c r="AK20" s="619"/>
    </row>
    <row r="21" spans="1:37" s="211" customFormat="1" ht="63" customHeight="1" x14ac:dyDescent="0.25">
      <c r="A21" s="250" t="s">
        <v>185</v>
      </c>
      <c r="B21" s="251" t="s">
        <v>183</v>
      </c>
      <c r="C21" s="252" t="s">
        <v>159</v>
      </c>
      <c r="D21" s="253" t="s">
        <v>135</v>
      </c>
      <c r="E21" s="253">
        <v>1</v>
      </c>
      <c r="F21" s="253" t="s">
        <v>5</v>
      </c>
      <c r="G21" s="253"/>
      <c r="H21" s="253" t="s">
        <v>136</v>
      </c>
      <c r="I21" s="253" t="s">
        <v>137</v>
      </c>
      <c r="J21" s="253">
        <v>87106</v>
      </c>
      <c r="K21" s="253" t="s">
        <v>150</v>
      </c>
      <c r="L21" s="254">
        <v>459098765</v>
      </c>
      <c r="M21" s="253">
        <v>1</v>
      </c>
      <c r="N21" s="253">
        <v>1</v>
      </c>
      <c r="O21" s="253">
        <v>1</v>
      </c>
      <c r="P21" s="255">
        <v>78</v>
      </c>
      <c r="Q21" s="256" t="s">
        <v>149</v>
      </c>
      <c r="R21" s="253" t="s">
        <v>148</v>
      </c>
      <c r="S21" s="253" t="s">
        <v>146</v>
      </c>
      <c r="T21" s="257" t="s">
        <v>13</v>
      </c>
      <c r="U21" s="253"/>
      <c r="V21" s="253"/>
      <c r="W21" s="258"/>
      <c r="X21" s="253"/>
      <c r="Y21" s="258"/>
      <c r="Z21" s="258"/>
      <c r="AA21" s="253"/>
      <c r="AB21" s="255">
        <v>2</v>
      </c>
      <c r="AC21" s="253"/>
      <c r="AD21" s="253"/>
      <c r="AE21" s="258"/>
      <c r="AF21" s="253"/>
      <c r="AG21" s="314" t="s">
        <v>119</v>
      </c>
      <c r="AH21" s="372">
        <v>0.5</v>
      </c>
      <c r="AI21" s="253"/>
      <c r="AJ21" s="257" t="s">
        <v>139</v>
      </c>
      <c r="AK21" s="259">
        <v>11123</v>
      </c>
    </row>
    <row r="22" spans="1:37" s="211" customFormat="1" ht="13.5" customHeight="1" x14ac:dyDescent="0.25">
      <c r="A22" s="618"/>
      <c r="B22" s="619"/>
      <c r="C22" s="619"/>
      <c r="D22" s="619"/>
      <c r="E22" s="619"/>
      <c r="F22" s="619"/>
      <c r="G22" s="619"/>
      <c r="H22" s="619"/>
      <c r="I22" s="619"/>
      <c r="J22" s="619"/>
      <c r="K22" s="619"/>
      <c r="L22" s="619"/>
      <c r="M22" s="619"/>
      <c r="N22" s="619"/>
      <c r="O22" s="619"/>
      <c r="P22" s="619"/>
      <c r="Q22" s="619"/>
      <c r="R22" s="619"/>
      <c r="S22" s="619"/>
      <c r="T22" s="619"/>
      <c r="U22" s="619"/>
      <c r="V22" s="619"/>
      <c r="W22" s="619"/>
      <c r="X22" s="619"/>
      <c r="Y22" s="619"/>
      <c r="Z22" s="619"/>
      <c r="AA22" s="619"/>
      <c r="AB22" s="619"/>
      <c r="AC22" s="619"/>
      <c r="AD22" s="619"/>
      <c r="AE22" s="619"/>
      <c r="AF22" s="619"/>
      <c r="AG22" s="619"/>
      <c r="AH22" s="619"/>
      <c r="AI22" s="619"/>
      <c r="AJ22" s="619"/>
      <c r="AK22" s="619"/>
    </row>
    <row r="23" spans="1:37" s="211" customFormat="1" ht="63" customHeight="1" x14ac:dyDescent="0.25">
      <c r="A23" s="260" t="s">
        <v>186</v>
      </c>
      <c r="B23" s="251" t="s">
        <v>160</v>
      </c>
      <c r="C23" s="252" t="s">
        <v>159</v>
      </c>
      <c r="D23" s="253" t="s">
        <v>135</v>
      </c>
      <c r="E23" s="253">
        <v>1</v>
      </c>
      <c r="F23" s="253" t="s">
        <v>5</v>
      </c>
      <c r="G23" s="253"/>
      <c r="H23" s="253" t="s">
        <v>136</v>
      </c>
      <c r="I23" s="253" t="s">
        <v>137</v>
      </c>
      <c r="J23" s="253">
        <v>87106</v>
      </c>
      <c r="K23" s="253" t="s">
        <v>150</v>
      </c>
      <c r="L23" s="254">
        <v>45998769</v>
      </c>
      <c r="M23" s="253">
        <v>1</v>
      </c>
      <c r="N23" s="253">
        <v>1</v>
      </c>
      <c r="O23" s="253">
        <v>2</v>
      </c>
      <c r="P23" s="255">
        <v>7</v>
      </c>
      <c r="Q23" s="256" t="s">
        <v>147</v>
      </c>
      <c r="R23" s="253" t="s">
        <v>148</v>
      </c>
      <c r="S23" s="253" t="s">
        <v>143</v>
      </c>
      <c r="T23" s="257" t="s">
        <v>13</v>
      </c>
      <c r="U23" s="253"/>
      <c r="V23" s="253"/>
      <c r="W23" s="258"/>
      <c r="X23" s="253"/>
      <c r="Y23" s="258"/>
      <c r="Z23" s="258"/>
      <c r="AA23" s="253"/>
      <c r="AB23" s="255">
        <v>1</v>
      </c>
      <c r="AC23" s="253"/>
      <c r="AD23" s="253"/>
      <c r="AE23" s="258"/>
      <c r="AF23" s="253"/>
      <c r="AG23" s="314" t="s">
        <v>119</v>
      </c>
      <c r="AH23" s="372">
        <v>0.5</v>
      </c>
      <c r="AI23" s="253"/>
      <c r="AJ23" s="257" t="s">
        <v>139</v>
      </c>
      <c r="AK23" s="259">
        <v>11123</v>
      </c>
    </row>
    <row r="24" spans="1:37" s="211" customFormat="1" ht="13.5" customHeight="1" x14ac:dyDescent="0.25">
      <c r="A24" s="618"/>
      <c r="B24" s="619"/>
      <c r="C24" s="619"/>
      <c r="D24" s="619"/>
      <c r="E24" s="619"/>
      <c r="F24" s="619"/>
      <c r="G24" s="619"/>
      <c r="H24" s="619"/>
      <c r="I24" s="619"/>
      <c r="J24" s="619"/>
      <c r="K24" s="619"/>
      <c r="L24" s="619"/>
      <c r="M24" s="619"/>
      <c r="N24" s="619"/>
      <c r="O24" s="619"/>
      <c r="P24" s="619"/>
      <c r="Q24" s="619"/>
      <c r="R24" s="619"/>
      <c r="S24" s="619"/>
      <c r="T24" s="619"/>
      <c r="U24" s="619"/>
      <c r="V24" s="619"/>
      <c r="W24" s="619"/>
      <c r="X24" s="619"/>
      <c r="Y24" s="619"/>
      <c r="Z24" s="619"/>
      <c r="AA24" s="619"/>
      <c r="AB24" s="619"/>
      <c r="AC24" s="619"/>
      <c r="AD24" s="619"/>
      <c r="AE24" s="619"/>
      <c r="AF24" s="619"/>
      <c r="AG24" s="619"/>
      <c r="AH24" s="619"/>
      <c r="AI24" s="619"/>
      <c r="AJ24" s="619"/>
      <c r="AK24" s="619"/>
    </row>
    <row r="25" spans="1:37" s="211" customFormat="1" ht="45" customHeight="1" x14ac:dyDescent="0.25">
      <c r="A25" s="643" t="s">
        <v>187</v>
      </c>
      <c r="B25" s="644" t="s">
        <v>160</v>
      </c>
      <c r="C25" s="613" t="s">
        <v>161</v>
      </c>
      <c r="D25" s="253" t="s">
        <v>135</v>
      </c>
      <c r="E25" s="253">
        <v>1</v>
      </c>
      <c r="F25" s="253" t="s">
        <v>5</v>
      </c>
      <c r="G25" s="253"/>
      <c r="H25" s="253" t="s">
        <v>136</v>
      </c>
      <c r="I25" s="253" t="s">
        <v>137</v>
      </c>
      <c r="J25" s="253">
        <v>87106</v>
      </c>
      <c r="K25" s="253" t="s">
        <v>150</v>
      </c>
      <c r="L25" s="254">
        <v>45998766</v>
      </c>
      <c r="M25" s="253">
        <v>1</v>
      </c>
      <c r="N25" s="253">
        <v>1</v>
      </c>
      <c r="O25" s="257">
        <v>1</v>
      </c>
      <c r="P25" s="255">
        <v>7</v>
      </c>
      <c r="Q25" s="256" t="s">
        <v>147</v>
      </c>
      <c r="R25" s="253" t="s">
        <v>148</v>
      </c>
      <c r="S25" s="253" t="s">
        <v>143</v>
      </c>
      <c r="T25" s="257" t="s">
        <v>13</v>
      </c>
      <c r="U25" s="253"/>
      <c r="V25" s="253"/>
      <c r="W25" s="253"/>
      <c r="X25" s="253"/>
      <c r="Y25" s="253"/>
      <c r="Z25" s="253"/>
      <c r="AA25" s="253"/>
      <c r="AB25" s="255">
        <v>1</v>
      </c>
      <c r="AC25" s="253"/>
      <c r="AD25" s="253"/>
      <c r="AE25" s="253"/>
      <c r="AF25" s="253"/>
      <c r="AG25" s="314" t="s">
        <v>119</v>
      </c>
      <c r="AH25" s="372">
        <v>0.5</v>
      </c>
      <c r="AI25" s="253"/>
      <c r="AJ25" s="257" t="s">
        <v>139</v>
      </c>
      <c r="AK25" s="259">
        <v>11123</v>
      </c>
    </row>
    <row r="26" spans="1:37" s="211" customFormat="1" ht="45" customHeight="1" x14ac:dyDescent="0.25">
      <c r="A26" s="643"/>
      <c r="B26" s="644"/>
      <c r="C26" s="614"/>
      <c r="D26" s="253" t="s">
        <v>135</v>
      </c>
      <c r="E26" s="253">
        <v>1</v>
      </c>
      <c r="F26" s="253" t="s">
        <v>5</v>
      </c>
      <c r="G26" s="253"/>
      <c r="H26" s="253" t="s">
        <v>136</v>
      </c>
      <c r="I26" s="253" t="s">
        <v>137</v>
      </c>
      <c r="J26" s="253">
        <v>87106</v>
      </c>
      <c r="K26" s="253" t="s">
        <v>150</v>
      </c>
      <c r="L26" s="254">
        <v>45998766</v>
      </c>
      <c r="M26" s="253">
        <v>2</v>
      </c>
      <c r="N26" s="253">
        <v>1</v>
      </c>
      <c r="O26" s="257">
        <v>1</v>
      </c>
      <c r="P26" s="255">
        <v>7</v>
      </c>
      <c r="Q26" s="256" t="s">
        <v>147</v>
      </c>
      <c r="R26" s="253" t="s">
        <v>148</v>
      </c>
      <c r="S26" s="253" t="s">
        <v>143</v>
      </c>
      <c r="T26" s="257" t="s">
        <v>13</v>
      </c>
      <c r="U26" s="253"/>
      <c r="V26" s="253"/>
      <c r="W26" s="253"/>
      <c r="X26" s="253"/>
      <c r="Y26" s="253"/>
      <c r="Z26" s="253"/>
      <c r="AA26" s="253"/>
      <c r="AB26" s="255">
        <v>1</v>
      </c>
      <c r="AC26" s="253"/>
      <c r="AD26" s="253"/>
      <c r="AE26" s="253"/>
      <c r="AF26" s="253"/>
      <c r="AG26" s="314" t="s">
        <v>119</v>
      </c>
      <c r="AH26" s="372">
        <v>0.5</v>
      </c>
      <c r="AI26" s="253"/>
      <c r="AJ26" s="257" t="s">
        <v>139</v>
      </c>
      <c r="AK26" s="259">
        <v>11123</v>
      </c>
    </row>
    <row r="27" spans="1:37" s="211" customFormat="1" ht="13.5" customHeight="1" x14ac:dyDescent="0.25">
      <c r="A27" s="618"/>
      <c r="B27" s="619"/>
      <c r="C27" s="619"/>
      <c r="D27" s="619"/>
      <c r="E27" s="619"/>
      <c r="F27" s="619"/>
      <c r="G27" s="619"/>
      <c r="H27" s="619"/>
      <c r="I27" s="619"/>
      <c r="J27" s="619"/>
      <c r="K27" s="619"/>
      <c r="L27" s="619"/>
      <c r="M27" s="619"/>
      <c r="N27" s="619"/>
      <c r="O27" s="619"/>
      <c r="P27" s="619"/>
      <c r="Q27" s="619"/>
      <c r="R27" s="619"/>
      <c r="S27" s="619"/>
      <c r="T27" s="619"/>
      <c r="U27" s="619"/>
      <c r="V27" s="619"/>
      <c r="W27" s="619"/>
      <c r="X27" s="619"/>
      <c r="Y27" s="619"/>
      <c r="Z27" s="619"/>
      <c r="AA27" s="619"/>
      <c r="AB27" s="619"/>
      <c r="AC27" s="619"/>
      <c r="AD27" s="619"/>
      <c r="AE27" s="619"/>
      <c r="AF27" s="619"/>
      <c r="AG27" s="619"/>
      <c r="AH27" s="619"/>
      <c r="AI27" s="619"/>
      <c r="AJ27" s="619"/>
      <c r="AK27" s="619"/>
    </row>
    <row r="28" spans="1:37" s="211" customFormat="1" ht="45" customHeight="1" x14ac:dyDescent="0.25">
      <c r="A28" s="643" t="s">
        <v>188</v>
      </c>
      <c r="B28" s="644" t="s">
        <v>184</v>
      </c>
      <c r="C28" s="613" t="s">
        <v>162</v>
      </c>
      <c r="D28" s="253" t="s">
        <v>135</v>
      </c>
      <c r="E28" s="253">
        <v>1</v>
      </c>
      <c r="F28" s="253" t="s">
        <v>5</v>
      </c>
      <c r="G28" s="253"/>
      <c r="H28" s="253" t="s">
        <v>136</v>
      </c>
      <c r="I28" s="253" t="s">
        <v>137</v>
      </c>
      <c r="J28" s="253">
        <v>87106</v>
      </c>
      <c r="K28" s="253" t="s">
        <v>150</v>
      </c>
      <c r="L28" s="254">
        <v>45998766</v>
      </c>
      <c r="M28" s="253">
        <v>1</v>
      </c>
      <c r="N28" s="253">
        <v>1</v>
      </c>
      <c r="O28" s="257">
        <v>1</v>
      </c>
      <c r="P28" s="255">
        <v>7</v>
      </c>
      <c r="Q28" s="256" t="s">
        <v>147</v>
      </c>
      <c r="R28" s="253" t="s">
        <v>148</v>
      </c>
      <c r="S28" s="253" t="s">
        <v>143</v>
      </c>
      <c r="T28" s="257" t="s">
        <v>13</v>
      </c>
      <c r="U28" s="253"/>
      <c r="V28" s="253"/>
      <c r="W28" s="253"/>
      <c r="X28" s="253"/>
      <c r="Y28" s="253"/>
      <c r="Z28" s="253"/>
      <c r="AA28" s="253"/>
      <c r="AB28" s="255">
        <v>1</v>
      </c>
      <c r="AC28" s="253"/>
      <c r="AD28" s="253"/>
      <c r="AE28" s="253"/>
      <c r="AF28" s="253"/>
      <c r="AG28" s="314" t="s">
        <v>119</v>
      </c>
      <c r="AH28" s="372">
        <v>0.5</v>
      </c>
      <c r="AI28" s="253"/>
      <c r="AJ28" s="257" t="s">
        <v>139</v>
      </c>
      <c r="AK28" s="259">
        <v>11123</v>
      </c>
    </row>
    <row r="29" spans="1:37" s="211" customFormat="1" ht="45" customHeight="1" x14ac:dyDescent="0.25">
      <c r="A29" s="643"/>
      <c r="B29" s="644"/>
      <c r="C29" s="614"/>
      <c r="D29" s="253" t="s">
        <v>135</v>
      </c>
      <c r="E29" s="253">
        <v>1</v>
      </c>
      <c r="F29" s="253" t="s">
        <v>5</v>
      </c>
      <c r="G29" s="253"/>
      <c r="H29" s="253" t="s">
        <v>136</v>
      </c>
      <c r="I29" s="253" t="s">
        <v>137</v>
      </c>
      <c r="J29" s="253">
        <v>87106</v>
      </c>
      <c r="K29" s="253" t="s">
        <v>150</v>
      </c>
      <c r="L29" s="254">
        <v>45998766</v>
      </c>
      <c r="M29" s="253">
        <v>2</v>
      </c>
      <c r="N29" s="253">
        <v>1</v>
      </c>
      <c r="O29" s="257">
        <v>1</v>
      </c>
      <c r="P29" s="255">
        <v>9.5</v>
      </c>
      <c r="Q29" s="256">
        <v>26100005738</v>
      </c>
      <c r="R29" s="253" t="s">
        <v>158</v>
      </c>
      <c r="S29" s="253" t="s">
        <v>143</v>
      </c>
      <c r="T29" s="257" t="s">
        <v>13</v>
      </c>
      <c r="U29" s="253"/>
      <c r="V29" s="253"/>
      <c r="W29" s="253"/>
      <c r="X29" s="253"/>
      <c r="Y29" s="253"/>
      <c r="Z29" s="253"/>
      <c r="AA29" s="253"/>
      <c r="AB29" s="255">
        <v>0.5</v>
      </c>
      <c r="AC29" s="253"/>
      <c r="AD29" s="253"/>
      <c r="AE29" s="253"/>
      <c r="AF29" s="253"/>
      <c r="AG29" s="314" t="s">
        <v>119</v>
      </c>
      <c r="AH29" s="372">
        <v>0.5</v>
      </c>
      <c r="AI29" s="253"/>
      <c r="AJ29" s="257" t="s">
        <v>139</v>
      </c>
      <c r="AK29" s="259">
        <v>10123</v>
      </c>
    </row>
    <row r="30" spans="1:37" s="211" customFormat="1" ht="13.5" customHeight="1" x14ac:dyDescent="0.25">
      <c r="A30" s="261"/>
      <c r="B30" s="261"/>
      <c r="C30" s="261"/>
      <c r="D30" s="261"/>
      <c r="E30" s="261"/>
      <c r="F30" s="261"/>
      <c r="G30" s="261"/>
      <c r="H30" s="261"/>
      <c r="I30" s="261"/>
      <c r="J30" s="261"/>
      <c r="K30" s="261"/>
      <c r="L30" s="261"/>
      <c r="M30" s="261"/>
      <c r="N30" s="261"/>
      <c r="O30" s="261"/>
      <c r="P30" s="261"/>
      <c r="Q30" s="261"/>
      <c r="R30" s="261"/>
      <c r="S30" s="261"/>
      <c r="T30" s="261"/>
      <c r="U30" s="261"/>
      <c r="V30" s="261"/>
      <c r="W30" s="261"/>
      <c r="X30" s="261"/>
      <c r="Y30" s="261"/>
      <c r="Z30" s="261"/>
      <c r="AA30" s="261"/>
      <c r="AB30" s="261"/>
      <c r="AC30" s="261"/>
      <c r="AD30" s="261"/>
      <c r="AE30" s="261"/>
      <c r="AF30" s="261"/>
      <c r="AG30" s="261"/>
      <c r="AH30" s="261"/>
      <c r="AI30" s="261"/>
      <c r="AJ30" s="261"/>
      <c r="AK30" s="261"/>
    </row>
    <row r="32" spans="1:37" s="262" customFormat="1" ht="24.75" customHeight="1" x14ac:dyDescent="0.25">
      <c r="A32" s="645" t="s">
        <v>163</v>
      </c>
      <c r="B32" s="646"/>
      <c r="C32" s="646"/>
      <c r="D32" s="646"/>
      <c r="E32" s="646"/>
      <c r="F32" s="646"/>
      <c r="G32" s="646"/>
      <c r="H32" s="646"/>
      <c r="I32" s="646"/>
      <c r="J32" s="646"/>
      <c r="K32" s="646"/>
      <c r="L32" s="646"/>
      <c r="M32" s="646"/>
      <c r="N32" s="646"/>
      <c r="O32" s="646"/>
      <c r="P32" s="646"/>
      <c r="Q32" s="646"/>
      <c r="R32" s="646"/>
      <c r="S32" s="646"/>
      <c r="T32" s="646"/>
      <c r="U32" s="646"/>
      <c r="V32" s="646"/>
      <c r="W32" s="646"/>
      <c r="X32" s="646"/>
      <c r="Y32" s="646"/>
      <c r="Z32" s="646"/>
      <c r="AA32" s="646"/>
      <c r="AB32" s="646"/>
      <c r="AC32" s="646"/>
      <c r="AD32" s="646"/>
      <c r="AE32" s="646"/>
    </row>
    <row r="33" spans="1:37" s="211" customFormat="1" ht="14.25" customHeight="1" x14ac:dyDescent="0.25">
      <c r="A33" s="263"/>
      <c r="B33" s="264"/>
      <c r="C33" s="265"/>
      <c r="D33" s="247"/>
      <c r="E33" s="247"/>
      <c r="F33" s="247"/>
      <c r="G33" s="247"/>
      <c r="H33" s="247"/>
      <c r="I33" s="247"/>
      <c r="J33" s="247"/>
      <c r="K33" s="247"/>
      <c r="L33" s="247"/>
      <c r="M33" s="247"/>
      <c r="N33" s="247"/>
      <c r="O33" s="247"/>
      <c r="P33" s="248"/>
      <c r="Q33" s="249"/>
      <c r="R33" s="247"/>
      <c r="S33" s="247"/>
      <c r="T33" s="247"/>
      <c r="U33" s="247"/>
      <c r="V33" s="247"/>
      <c r="W33" s="247"/>
      <c r="X33" s="247"/>
      <c r="Y33" s="247"/>
      <c r="Z33" s="247"/>
      <c r="AA33" s="247"/>
      <c r="AB33" s="248"/>
      <c r="AC33" s="247"/>
      <c r="AD33" s="247"/>
      <c r="AE33" s="247"/>
      <c r="AF33" s="247"/>
      <c r="AG33" s="247"/>
      <c r="AH33" s="247"/>
      <c r="AI33" s="247"/>
      <c r="AJ33" s="247"/>
      <c r="AK33" s="266"/>
    </row>
    <row r="34" spans="1:37" s="211" customFormat="1" ht="45" customHeight="1" x14ac:dyDescent="0.25">
      <c r="A34" s="647" t="s">
        <v>189</v>
      </c>
      <c r="B34" s="644" t="s">
        <v>181</v>
      </c>
      <c r="C34" s="613" t="s">
        <v>161</v>
      </c>
      <c r="D34" s="253" t="s">
        <v>135</v>
      </c>
      <c r="E34" s="253">
        <v>1</v>
      </c>
      <c r="F34" s="253" t="s">
        <v>5</v>
      </c>
      <c r="G34" s="253"/>
      <c r="H34" s="253" t="s">
        <v>136</v>
      </c>
      <c r="I34" s="253" t="s">
        <v>137</v>
      </c>
      <c r="J34" s="253">
        <v>87106</v>
      </c>
      <c r="K34" s="253" t="s">
        <v>150</v>
      </c>
      <c r="L34" s="254">
        <v>45998766</v>
      </c>
      <c r="M34" s="253">
        <v>1</v>
      </c>
      <c r="N34" s="253">
        <v>1</v>
      </c>
      <c r="O34" s="257">
        <v>2</v>
      </c>
      <c r="P34" s="255">
        <v>7</v>
      </c>
      <c r="Q34" s="256" t="s">
        <v>147</v>
      </c>
      <c r="R34" s="253" t="s">
        <v>148</v>
      </c>
      <c r="S34" s="253" t="s">
        <v>143</v>
      </c>
      <c r="T34" s="257" t="s">
        <v>13</v>
      </c>
      <c r="U34" s="253"/>
      <c r="V34" s="253"/>
      <c r="W34" s="253"/>
      <c r="X34" s="253"/>
      <c r="Y34" s="253"/>
      <c r="Z34" s="253"/>
      <c r="AA34" s="253"/>
      <c r="AB34" s="255">
        <v>1</v>
      </c>
      <c r="AC34" s="253"/>
      <c r="AD34" s="253"/>
      <c r="AE34" s="253"/>
      <c r="AF34" s="253"/>
      <c r="AG34" s="314" t="s">
        <v>119</v>
      </c>
      <c r="AH34" s="372">
        <v>0.5</v>
      </c>
      <c r="AI34" s="253"/>
      <c r="AJ34" s="257" t="s">
        <v>139</v>
      </c>
      <c r="AK34" s="259">
        <v>11123</v>
      </c>
    </row>
    <row r="35" spans="1:37" s="211" customFormat="1" ht="45" customHeight="1" x14ac:dyDescent="0.25">
      <c r="A35" s="647"/>
      <c r="B35" s="644"/>
      <c r="C35" s="614"/>
      <c r="D35" s="253" t="s">
        <v>135</v>
      </c>
      <c r="E35" s="253">
        <v>1</v>
      </c>
      <c r="F35" s="253" t="s">
        <v>5</v>
      </c>
      <c r="G35" s="253"/>
      <c r="H35" s="253" t="s">
        <v>136</v>
      </c>
      <c r="I35" s="253" t="s">
        <v>137</v>
      </c>
      <c r="J35" s="253">
        <v>87106</v>
      </c>
      <c r="K35" s="253" t="s">
        <v>150</v>
      </c>
      <c r="L35" s="254">
        <v>45998766</v>
      </c>
      <c r="M35" s="253">
        <v>2</v>
      </c>
      <c r="N35" s="253">
        <v>1</v>
      </c>
      <c r="O35" s="253">
        <v>1</v>
      </c>
      <c r="P35" s="258">
        <v>8</v>
      </c>
      <c r="Q35" s="256" t="s">
        <v>147</v>
      </c>
      <c r="R35" s="253" t="s">
        <v>148</v>
      </c>
      <c r="S35" s="253" t="s">
        <v>143</v>
      </c>
      <c r="T35" s="267" t="s">
        <v>8</v>
      </c>
      <c r="U35" s="253"/>
      <c r="V35" s="253"/>
      <c r="W35" s="253"/>
      <c r="X35" s="253"/>
      <c r="Y35" s="253"/>
      <c r="Z35" s="253"/>
      <c r="AA35" s="253"/>
      <c r="AB35" s="258"/>
      <c r="AC35" s="253"/>
      <c r="AD35" s="253"/>
      <c r="AE35" s="253"/>
      <c r="AF35" s="253"/>
      <c r="AG35" s="314" t="s">
        <v>119</v>
      </c>
      <c r="AH35" s="372">
        <v>0.5</v>
      </c>
      <c r="AI35" s="253"/>
      <c r="AJ35" s="268" t="s">
        <v>139</v>
      </c>
      <c r="AK35" s="269"/>
    </row>
    <row r="36" spans="1:37" s="211" customFormat="1" ht="13.5" customHeight="1" x14ac:dyDescent="0.25">
      <c r="A36" s="263"/>
      <c r="B36" s="264"/>
      <c r="C36" s="265"/>
      <c r="D36" s="247"/>
      <c r="E36" s="247"/>
      <c r="F36" s="247"/>
      <c r="G36" s="247"/>
      <c r="H36" s="247"/>
      <c r="I36" s="247"/>
      <c r="J36" s="247"/>
      <c r="K36" s="247"/>
      <c r="L36" s="247"/>
      <c r="M36" s="247"/>
      <c r="N36" s="247"/>
      <c r="O36" s="247"/>
      <c r="P36" s="248"/>
      <c r="Q36" s="249"/>
      <c r="R36" s="247"/>
      <c r="S36" s="247"/>
      <c r="T36" s="247"/>
      <c r="U36" s="247"/>
      <c r="V36" s="247"/>
      <c r="W36" s="247"/>
      <c r="X36" s="247"/>
      <c r="Y36" s="247"/>
      <c r="Z36" s="247"/>
      <c r="AA36" s="247"/>
      <c r="AB36" s="248"/>
      <c r="AC36" s="247"/>
      <c r="AD36" s="247"/>
      <c r="AE36" s="247"/>
      <c r="AF36" s="247"/>
      <c r="AG36" s="247"/>
      <c r="AH36" s="247"/>
      <c r="AI36" s="247"/>
      <c r="AJ36" s="247"/>
      <c r="AK36" s="266"/>
    </row>
    <row r="37" spans="1:37" s="211" customFormat="1" ht="59.25" customHeight="1" x14ac:dyDescent="0.25">
      <c r="A37" s="270" t="s">
        <v>190</v>
      </c>
      <c r="B37" s="271" t="s">
        <v>181</v>
      </c>
      <c r="C37" s="272" t="s">
        <v>164</v>
      </c>
      <c r="D37" s="253" t="s">
        <v>135</v>
      </c>
      <c r="E37" s="253">
        <v>1</v>
      </c>
      <c r="F37" s="253" t="s">
        <v>5</v>
      </c>
      <c r="G37" s="253"/>
      <c r="H37" s="253" t="s">
        <v>136</v>
      </c>
      <c r="I37" s="253" t="s">
        <v>137</v>
      </c>
      <c r="J37" s="253">
        <v>87106</v>
      </c>
      <c r="K37" s="253" t="s">
        <v>150</v>
      </c>
      <c r="L37" s="254">
        <v>45998766</v>
      </c>
      <c r="M37" s="253">
        <v>1</v>
      </c>
      <c r="N37" s="253">
        <v>1</v>
      </c>
      <c r="O37" s="273">
        <v>3</v>
      </c>
      <c r="P37" s="274">
        <v>7.33</v>
      </c>
      <c r="Q37" s="256" t="s">
        <v>147</v>
      </c>
      <c r="R37" s="253" t="s">
        <v>148</v>
      </c>
      <c r="S37" s="253" t="s">
        <v>143</v>
      </c>
      <c r="T37" s="257" t="s">
        <v>13</v>
      </c>
      <c r="U37" s="253"/>
      <c r="V37" s="253"/>
      <c r="W37" s="253"/>
      <c r="X37" s="253"/>
      <c r="Y37" s="253"/>
      <c r="Z37" s="253"/>
      <c r="AA37" s="253"/>
      <c r="AB37" s="274">
        <v>0.33</v>
      </c>
      <c r="AC37" s="253"/>
      <c r="AD37" s="253"/>
      <c r="AE37" s="253"/>
      <c r="AF37" s="253"/>
      <c r="AG37" s="314" t="s">
        <v>119</v>
      </c>
      <c r="AH37" s="372">
        <v>0.5</v>
      </c>
      <c r="AI37" s="253"/>
      <c r="AJ37" s="257" t="s">
        <v>139</v>
      </c>
      <c r="AK37" s="259">
        <v>11123</v>
      </c>
    </row>
    <row r="38" spans="1:37" s="211" customFormat="1" ht="14.25" customHeight="1" x14ac:dyDescent="0.25">
      <c r="A38" s="263"/>
      <c r="B38" s="264"/>
      <c r="C38" s="265"/>
      <c r="D38" s="247"/>
      <c r="E38" s="247"/>
      <c r="F38" s="247"/>
      <c r="G38" s="247"/>
      <c r="H38" s="247"/>
      <c r="I38" s="247"/>
      <c r="J38" s="247"/>
      <c r="K38" s="247"/>
      <c r="L38" s="247"/>
      <c r="M38" s="247"/>
      <c r="N38" s="247"/>
      <c r="O38" s="247"/>
      <c r="P38" s="248"/>
      <c r="Q38" s="249"/>
      <c r="R38" s="247"/>
      <c r="S38" s="247"/>
      <c r="T38" s="247"/>
      <c r="U38" s="247"/>
      <c r="V38" s="247"/>
      <c r="W38" s="247"/>
      <c r="X38" s="247"/>
      <c r="Y38" s="247"/>
      <c r="Z38" s="247"/>
      <c r="AA38" s="247"/>
      <c r="AB38" s="248"/>
      <c r="AC38" s="247"/>
      <c r="AD38" s="247"/>
      <c r="AE38" s="247"/>
      <c r="AF38" s="247"/>
      <c r="AG38" s="247"/>
      <c r="AH38" s="247"/>
      <c r="AI38" s="247"/>
      <c r="AJ38" s="247"/>
      <c r="AK38" s="266"/>
    </row>
    <row r="39" spans="1:37" s="211" customFormat="1" ht="63" customHeight="1" x14ac:dyDescent="0.25">
      <c r="A39" s="648" t="s">
        <v>191</v>
      </c>
      <c r="B39" s="650" t="s">
        <v>180</v>
      </c>
      <c r="C39" s="272" t="s">
        <v>159</v>
      </c>
      <c r="D39" s="253" t="s">
        <v>135</v>
      </c>
      <c r="E39" s="253">
        <v>1</v>
      </c>
      <c r="F39" s="253" t="s">
        <v>5</v>
      </c>
      <c r="G39" s="253"/>
      <c r="H39" s="253" t="s">
        <v>136</v>
      </c>
      <c r="I39" s="253" t="s">
        <v>137</v>
      </c>
      <c r="J39" s="253">
        <v>87106</v>
      </c>
      <c r="K39" s="253" t="s">
        <v>150</v>
      </c>
      <c r="L39" s="254">
        <v>45998769</v>
      </c>
      <c r="M39" s="253">
        <v>2</v>
      </c>
      <c r="N39" s="253">
        <v>1</v>
      </c>
      <c r="O39" s="253">
        <v>1</v>
      </c>
      <c r="P39" s="255">
        <v>78</v>
      </c>
      <c r="Q39" s="256" t="s">
        <v>149</v>
      </c>
      <c r="R39" s="253" t="s">
        <v>148</v>
      </c>
      <c r="S39" s="253" t="s">
        <v>146</v>
      </c>
      <c r="T39" s="257" t="s">
        <v>13</v>
      </c>
      <c r="U39" s="253"/>
      <c r="V39" s="253"/>
      <c r="W39" s="258"/>
      <c r="X39" s="253"/>
      <c r="Y39" s="258"/>
      <c r="Z39" s="258"/>
      <c r="AA39" s="253"/>
      <c r="AB39" s="255">
        <v>2</v>
      </c>
      <c r="AC39" s="253"/>
      <c r="AD39" s="253"/>
      <c r="AE39" s="258"/>
      <c r="AF39" s="253"/>
      <c r="AG39" s="314" t="s">
        <v>119</v>
      </c>
      <c r="AH39" s="372">
        <v>5</v>
      </c>
      <c r="AI39" s="253"/>
      <c r="AJ39" s="257" t="s">
        <v>139</v>
      </c>
      <c r="AK39" s="259">
        <v>11123</v>
      </c>
    </row>
    <row r="40" spans="1:37" s="211" customFormat="1" ht="63" customHeight="1" x14ac:dyDescent="0.25">
      <c r="A40" s="649"/>
      <c r="B40" s="651"/>
      <c r="C40" s="272" t="s">
        <v>165</v>
      </c>
      <c r="D40" s="253" t="s">
        <v>135</v>
      </c>
      <c r="E40" s="253">
        <v>1</v>
      </c>
      <c r="F40" s="253" t="s">
        <v>5</v>
      </c>
      <c r="G40" s="253"/>
      <c r="H40" s="253" t="s">
        <v>136</v>
      </c>
      <c r="I40" s="253" t="s">
        <v>137</v>
      </c>
      <c r="J40" s="253">
        <v>87106</v>
      </c>
      <c r="K40" s="253" t="s">
        <v>138</v>
      </c>
      <c r="L40" s="254">
        <v>45998769</v>
      </c>
      <c r="M40" s="253">
        <v>2</v>
      </c>
      <c r="N40" s="253">
        <v>1</v>
      </c>
      <c r="O40" s="253">
        <v>1</v>
      </c>
      <c r="P40" s="255">
        <v>80</v>
      </c>
      <c r="Q40" s="256" t="s">
        <v>149</v>
      </c>
      <c r="R40" s="253" t="s">
        <v>148</v>
      </c>
      <c r="S40" s="253" t="s">
        <v>146</v>
      </c>
      <c r="T40" s="267" t="s">
        <v>8</v>
      </c>
      <c r="U40" s="253"/>
      <c r="V40" s="253"/>
      <c r="W40" s="258"/>
      <c r="X40" s="253"/>
      <c r="Y40" s="258"/>
      <c r="Z40" s="258"/>
      <c r="AA40" s="253"/>
      <c r="AB40" s="275"/>
      <c r="AC40" s="253"/>
      <c r="AD40" s="253"/>
      <c r="AE40" s="258"/>
      <c r="AF40" s="253"/>
      <c r="AG40" s="314" t="s">
        <v>119</v>
      </c>
      <c r="AH40" s="372">
        <v>5</v>
      </c>
      <c r="AI40" s="253"/>
      <c r="AJ40" s="268" t="s">
        <v>139</v>
      </c>
      <c r="AK40" s="269"/>
    </row>
    <row r="41" spans="1:37" s="211" customFormat="1" ht="13.5" customHeight="1" thickBot="1" x14ac:dyDescent="0.3">
      <c r="A41" s="261"/>
      <c r="B41" s="261"/>
      <c r="C41" s="261"/>
      <c r="D41" s="261"/>
      <c r="E41" s="261"/>
      <c r="F41" s="261"/>
      <c r="G41" s="261"/>
      <c r="H41" s="261"/>
      <c r="I41" s="261"/>
      <c r="J41" s="261"/>
      <c r="K41" s="261"/>
      <c r="L41" s="261"/>
      <c r="M41" s="261"/>
      <c r="N41" s="261"/>
      <c r="O41" s="261"/>
      <c r="P41" s="261"/>
      <c r="Q41" s="261"/>
      <c r="R41" s="261"/>
      <c r="S41" s="261"/>
      <c r="T41" s="261"/>
      <c r="U41" s="261"/>
      <c r="V41" s="261"/>
      <c r="W41" s="261"/>
      <c r="X41" s="261"/>
      <c r="Y41" s="261"/>
      <c r="Z41" s="261"/>
      <c r="AA41" s="261"/>
      <c r="AB41" s="261"/>
      <c r="AC41" s="261"/>
      <c r="AD41" s="261"/>
      <c r="AE41" s="261"/>
      <c r="AF41" s="261"/>
      <c r="AG41" s="261"/>
      <c r="AH41" s="261"/>
      <c r="AI41" s="261"/>
      <c r="AJ41" s="261"/>
      <c r="AK41" s="261"/>
    </row>
    <row r="42" spans="1:37" s="211" customFormat="1" ht="81.75" customHeight="1" thickBot="1" x14ac:dyDescent="0.3">
      <c r="A42" s="280" t="s">
        <v>192</v>
      </c>
      <c r="B42" s="281" t="s">
        <v>167</v>
      </c>
      <c r="C42" s="282" t="s">
        <v>159</v>
      </c>
      <c r="D42" s="283" t="s">
        <v>135</v>
      </c>
      <c r="E42" s="283">
        <v>1</v>
      </c>
      <c r="F42" s="283" t="s">
        <v>5</v>
      </c>
      <c r="G42" s="283"/>
      <c r="H42" s="283" t="s">
        <v>136</v>
      </c>
      <c r="I42" s="283" t="s">
        <v>137</v>
      </c>
      <c r="J42" s="283">
        <v>87106</v>
      </c>
      <c r="K42" s="253" t="s">
        <v>150</v>
      </c>
      <c r="L42" s="284">
        <v>459098765</v>
      </c>
      <c r="M42" s="283">
        <v>1</v>
      </c>
      <c r="N42" s="283">
        <v>1</v>
      </c>
      <c r="O42" s="283">
        <v>1</v>
      </c>
      <c r="P42" s="285">
        <v>73</v>
      </c>
      <c r="Q42" s="286" t="s">
        <v>149</v>
      </c>
      <c r="R42" s="283" t="s">
        <v>148</v>
      </c>
      <c r="S42" s="283" t="s">
        <v>146</v>
      </c>
      <c r="T42" s="287" t="s">
        <v>13</v>
      </c>
      <c r="U42" s="283"/>
      <c r="V42" s="283"/>
      <c r="W42" s="288"/>
      <c r="X42" s="283"/>
      <c r="Y42" s="288"/>
      <c r="Z42" s="288"/>
      <c r="AA42" s="283"/>
      <c r="AB42" s="285">
        <v>2</v>
      </c>
      <c r="AC42" s="287" t="s">
        <v>13</v>
      </c>
      <c r="AD42" s="287">
        <v>2</v>
      </c>
      <c r="AE42" s="285">
        <v>5</v>
      </c>
      <c r="AF42" s="283"/>
      <c r="AG42" s="314" t="s">
        <v>119</v>
      </c>
      <c r="AH42" s="372">
        <v>5</v>
      </c>
      <c r="AI42" s="287" t="s">
        <v>67</v>
      </c>
      <c r="AJ42" s="287" t="s">
        <v>139</v>
      </c>
      <c r="AK42" s="289">
        <v>11123</v>
      </c>
    </row>
    <row r="43" spans="1:37" s="211" customFormat="1" ht="13.5" customHeight="1" thickBot="1" x14ac:dyDescent="0.3">
      <c r="A43" s="641"/>
      <c r="B43" s="642"/>
      <c r="C43" s="642"/>
      <c r="D43" s="642"/>
      <c r="E43" s="642"/>
      <c r="F43" s="642"/>
      <c r="G43" s="642"/>
      <c r="H43" s="642"/>
      <c r="I43" s="642"/>
      <c r="J43" s="642"/>
      <c r="K43" s="642"/>
      <c r="L43" s="642"/>
      <c r="M43" s="642"/>
      <c r="N43" s="642"/>
      <c r="O43" s="642"/>
      <c r="P43" s="642"/>
      <c r="Q43" s="642"/>
      <c r="R43" s="642"/>
      <c r="S43" s="642"/>
      <c r="T43" s="642"/>
      <c r="U43" s="642"/>
      <c r="V43" s="642"/>
      <c r="W43" s="642"/>
      <c r="X43" s="642"/>
      <c r="Y43" s="642"/>
      <c r="Z43" s="642"/>
      <c r="AA43" s="642"/>
      <c r="AB43" s="642"/>
      <c r="AC43" s="642"/>
      <c r="AD43" s="642"/>
      <c r="AE43" s="642"/>
      <c r="AF43" s="642"/>
      <c r="AG43" s="642"/>
      <c r="AH43" s="642"/>
      <c r="AI43" s="642"/>
      <c r="AJ43" s="642"/>
      <c r="AK43" s="642"/>
    </row>
    <row r="44" spans="1:37" s="211" customFormat="1" ht="62.25" customHeight="1" thickBot="1" x14ac:dyDescent="0.3">
      <c r="A44" s="280" t="s">
        <v>193</v>
      </c>
      <c r="B44" s="281" t="s">
        <v>168</v>
      </c>
      <c r="C44" s="282" t="s">
        <v>159</v>
      </c>
      <c r="D44" s="283" t="s">
        <v>135</v>
      </c>
      <c r="E44" s="283">
        <v>1</v>
      </c>
      <c r="F44" s="283" t="s">
        <v>5</v>
      </c>
      <c r="G44" s="283"/>
      <c r="H44" s="283" t="s">
        <v>136</v>
      </c>
      <c r="I44" s="283" t="s">
        <v>137</v>
      </c>
      <c r="J44" s="283">
        <v>87106</v>
      </c>
      <c r="K44" s="253" t="s">
        <v>150</v>
      </c>
      <c r="L44" s="284">
        <v>45998769</v>
      </c>
      <c r="M44" s="283">
        <v>1</v>
      </c>
      <c r="N44" s="283">
        <v>1</v>
      </c>
      <c r="O44" s="283">
        <v>2</v>
      </c>
      <c r="P44" s="285">
        <v>6.5</v>
      </c>
      <c r="Q44" s="286" t="s">
        <v>147</v>
      </c>
      <c r="R44" s="283" t="s">
        <v>148</v>
      </c>
      <c r="S44" s="283" t="s">
        <v>143</v>
      </c>
      <c r="T44" s="287" t="s">
        <v>13</v>
      </c>
      <c r="U44" s="283"/>
      <c r="V44" s="283"/>
      <c r="W44" s="288"/>
      <c r="X44" s="283"/>
      <c r="Y44" s="288"/>
      <c r="Z44" s="288"/>
      <c r="AA44" s="283"/>
      <c r="AB44" s="285">
        <v>1</v>
      </c>
      <c r="AC44" s="287" t="s">
        <v>13</v>
      </c>
      <c r="AD44" s="287">
        <v>2</v>
      </c>
      <c r="AE44" s="285">
        <v>0.5</v>
      </c>
      <c r="AF44" s="283"/>
      <c r="AG44" s="314" t="s">
        <v>119</v>
      </c>
      <c r="AH44" s="372">
        <v>0.5</v>
      </c>
      <c r="AI44" s="287" t="s">
        <v>67</v>
      </c>
      <c r="AJ44" s="287" t="s">
        <v>139</v>
      </c>
      <c r="AK44" s="289">
        <v>11123</v>
      </c>
    </row>
    <row r="45" spans="1:37" s="211" customFormat="1" ht="13.5" customHeight="1" thickBot="1" x14ac:dyDescent="0.3">
      <c r="A45" s="641"/>
      <c r="B45" s="642"/>
      <c r="C45" s="642"/>
      <c r="D45" s="642"/>
      <c r="E45" s="642"/>
      <c r="F45" s="642"/>
      <c r="G45" s="642"/>
      <c r="H45" s="642"/>
      <c r="I45" s="642"/>
      <c r="J45" s="642"/>
      <c r="K45" s="642"/>
      <c r="L45" s="642"/>
      <c r="M45" s="642"/>
      <c r="N45" s="642"/>
      <c r="O45" s="642"/>
      <c r="P45" s="642"/>
      <c r="Q45" s="642"/>
      <c r="R45" s="642"/>
      <c r="S45" s="642"/>
      <c r="T45" s="642"/>
      <c r="U45" s="642"/>
      <c r="V45" s="642"/>
      <c r="W45" s="642"/>
      <c r="X45" s="642"/>
      <c r="Y45" s="642"/>
      <c r="Z45" s="642"/>
      <c r="AA45" s="642"/>
      <c r="AB45" s="642"/>
      <c r="AC45" s="642"/>
      <c r="AD45" s="642"/>
      <c r="AE45" s="642"/>
      <c r="AF45" s="642"/>
      <c r="AG45" s="642"/>
      <c r="AH45" s="642"/>
      <c r="AI45" s="642"/>
      <c r="AJ45" s="642"/>
      <c r="AK45" s="642"/>
    </row>
    <row r="46" spans="1:37" s="211" customFormat="1" ht="45" customHeight="1" thickBot="1" x14ac:dyDescent="0.3">
      <c r="A46" s="643">
        <v>36</v>
      </c>
      <c r="B46" s="644" t="s">
        <v>169</v>
      </c>
      <c r="C46" s="613" t="s">
        <v>162</v>
      </c>
      <c r="D46" s="253" t="s">
        <v>135</v>
      </c>
      <c r="E46" s="253">
        <v>1</v>
      </c>
      <c r="F46" s="253" t="s">
        <v>5</v>
      </c>
      <c r="G46" s="253"/>
      <c r="H46" s="253" t="s">
        <v>136</v>
      </c>
      <c r="I46" s="253" t="s">
        <v>137</v>
      </c>
      <c r="J46" s="253">
        <v>87106</v>
      </c>
      <c r="K46" s="253" t="s">
        <v>150</v>
      </c>
      <c r="L46" s="254">
        <v>45998766</v>
      </c>
      <c r="M46" s="253">
        <v>1</v>
      </c>
      <c r="N46" s="253">
        <v>1</v>
      </c>
      <c r="O46" s="257">
        <v>1</v>
      </c>
      <c r="P46" s="255">
        <v>6.5</v>
      </c>
      <c r="Q46" s="256" t="s">
        <v>147</v>
      </c>
      <c r="R46" s="253" t="s">
        <v>148</v>
      </c>
      <c r="S46" s="253" t="s">
        <v>143</v>
      </c>
      <c r="T46" s="257" t="s">
        <v>13</v>
      </c>
      <c r="U46" s="253"/>
      <c r="V46" s="253"/>
      <c r="W46" s="253"/>
      <c r="X46" s="253"/>
      <c r="Y46" s="253"/>
      <c r="Z46" s="253"/>
      <c r="AA46" s="253"/>
      <c r="AB46" s="255">
        <v>1</v>
      </c>
      <c r="AC46" s="287" t="s">
        <v>13</v>
      </c>
      <c r="AD46" s="287">
        <v>2</v>
      </c>
      <c r="AE46" s="285">
        <v>0.5</v>
      </c>
      <c r="AF46" s="253"/>
      <c r="AG46" s="314" t="s">
        <v>119</v>
      </c>
      <c r="AH46" s="372">
        <v>0.5</v>
      </c>
      <c r="AI46" s="287" t="s">
        <v>67</v>
      </c>
      <c r="AJ46" s="257" t="s">
        <v>139</v>
      </c>
      <c r="AK46" s="259">
        <v>11123</v>
      </c>
    </row>
    <row r="47" spans="1:37" s="211" customFormat="1" ht="45" customHeight="1" thickBot="1" x14ac:dyDescent="0.3">
      <c r="A47" s="643"/>
      <c r="B47" s="644"/>
      <c r="C47" s="614"/>
      <c r="D47" s="253" t="s">
        <v>135</v>
      </c>
      <c r="E47" s="253">
        <v>1</v>
      </c>
      <c r="F47" s="253" t="s">
        <v>5</v>
      </c>
      <c r="G47" s="253"/>
      <c r="H47" s="253" t="s">
        <v>136</v>
      </c>
      <c r="I47" s="253" t="s">
        <v>137</v>
      </c>
      <c r="J47" s="253">
        <v>87106</v>
      </c>
      <c r="K47" s="253" t="s">
        <v>150</v>
      </c>
      <c r="L47" s="254">
        <v>45998766</v>
      </c>
      <c r="M47" s="253">
        <v>2</v>
      </c>
      <c r="N47" s="253">
        <v>1</v>
      </c>
      <c r="O47" s="257">
        <v>1</v>
      </c>
      <c r="P47" s="255">
        <v>8.5</v>
      </c>
      <c r="Q47" s="256">
        <v>26100005738</v>
      </c>
      <c r="R47" s="253" t="s">
        <v>158</v>
      </c>
      <c r="S47" s="253" t="s">
        <v>143</v>
      </c>
      <c r="T47" s="257" t="s">
        <v>13</v>
      </c>
      <c r="U47" s="253"/>
      <c r="V47" s="253"/>
      <c r="W47" s="253"/>
      <c r="X47" s="253"/>
      <c r="Y47" s="253"/>
      <c r="Z47" s="253"/>
      <c r="AA47" s="253"/>
      <c r="AB47" s="255">
        <v>0.5</v>
      </c>
      <c r="AC47" s="287" t="s">
        <v>13</v>
      </c>
      <c r="AD47" s="287">
        <v>2</v>
      </c>
      <c r="AE47" s="285">
        <v>1</v>
      </c>
      <c r="AF47" s="253"/>
      <c r="AG47" s="314" t="s">
        <v>119</v>
      </c>
      <c r="AH47" s="372">
        <v>0.5</v>
      </c>
      <c r="AI47" s="287" t="s">
        <v>67</v>
      </c>
      <c r="AJ47" s="257" t="s">
        <v>139</v>
      </c>
      <c r="AK47" s="259">
        <v>10123</v>
      </c>
    </row>
    <row r="48" spans="1:37" s="211" customFormat="1" ht="13.5" customHeight="1" thickBot="1" x14ac:dyDescent="0.3">
      <c r="A48" s="261"/>
      <c r="B48" s="261"/>
      <c r="C48" s="261"/>
      <c r="D48" s="261"/>
      <c r="E48" s="261"/>
      <c r="F48" s="261"/>
      <c r="G48" s="261"/>
      <c r="H48" s="261"/>
      <c r="I48" s="261"/>
      <c r="J48" s="261"/>
      <c r="K48" s="261"/>
      <c r="L48" s="261"/>
      <c r="M48" s="261"/>
      <c r="N48" s="261"/>
      <c r="O48" s="261"/>
      <c r="P48" s="261"/>
      <c r="Q48" s="261"/>
      <c r="R48" s="261"/>
      <c r="S48" s="261"/>
      <c r="T48" s="261"/>
      <c r="U48" s="261"/>
      <c r="V48" s="261"/>
      <c r="W48" s="261"/>
      <c r="X48" s="261"/>
      <c r="Y48" s="261"/>
      <c r="Z48" s="261"/>
      <c r="AA48" s="261"/>
      <c r="AB48" s="261"/>
      <c r="AC48" s="261"/>
      <c r="AD48" s="261"/>
      <c r="AE48" s="261"/>
      <c r="AF48" s="261"/>
      <c r="AG48" s="261"/>
      <c r="AH48" s="261"/>
      <c r="AI48" s="261"/>
      <c r="AJ48" s="261"/>
      <c r="AK48" s="261"/>
    </row>
    <row r="49" spans="1:37" s="211" customFormat="1" ht="81.75" customHeight="1" thickBot="1" x14ac:dyDescent="0.3">
      <c r="A49" s="312" t="s">
        <v>194</v>
      </c>
      <c r="B49" s="290" t="s">
        <v>170</v>
      </c>
      <c r="C49" s="291" t="s">
        <v>171</v>
      </c>
      <c r="D49" s="283" t="s">
        <v>135</v>
      </c>
      <c r="E49" s="283">
        <v>1</v>
      </c>
      <c r="F49" s="283" t="s">
        <v>5</v>
      </c>
      <c r="G49" s="283"/>
      <c r="H49" s="283" t="s">
        <v>136</v>
      </c>
      <c r="I49" s="283" t="s">
        <v>137</v>
      </c>
      <c r="J49" s="283">
        <v>87106</v>
      </c>
      <c r="K49" s="253" t="s">
        <v>150</v>
      </c>
      <c r="L49" s="284">
        <v>45998769</v>
      </c>
      <c r="M49" s="283">
        <v>1</v>
      </c>
      <c r="N49" s="283">
        <v>1</v>
      </c>
      <c r="O49" s="283">
        <v>3</v>
      </c>
      <c r="P49" s="292">
        <v>6.67</v>
      </c>
      <c r="Q49" s="286" t="s">
        <v>147</v>
      </c>
      <c r="R49" s="283" t="s">
        <v>148</v>
      </c>
      <c r="S49" s="283" t="s">
        <v>143</v>
      </c>
      <c r="T49" s="287" t="s">
        <v>13</v>
      </c>
      <c r="U49" s="283"/>
      <c r="V49" s="283"/>
      <c r="W49" s="288"/>
      <c r="X49" s="283"/>
      <c r="Y49" s="288"/>
      <c r="Z49" s="288"/>
      <c r="AA49" s="283"/>
      <c r="AB49" s="285">
        <v>1</v>
      </c>
      <c r="AC49" s="293" t="s">
        <v>13</v>
      </c>
      <c r="AD49" s="293">
        <v>2</v>
      </c>
      <c r="AE49" s="292">
        <v>0.33</v>
      </c>
      <c r="AF49" s="283"/>
      <c r="AG49" s="314" t="s">
        <v>119</v>
      </c>
      <c r="AH49" s="372">
        <v>0.5</v>
      </c>
      <c r="AI49" s="293" t="s">
        <v>67</v>
      </c>
      <c r="AJ49" s="287" t="s">
        <v>139</v>
      </c>
      <c r="AK49" s="289">
        <v>11123</v>
      </c>
    </row>
    <row r="50" spans="1:37" s="211" customFormat="1" ht="13.5" customHeight="1" thickBot="1" x14ac:dyDescent="0.3">
      <c r="A50" s="261"/>
      <c r="B50" s="261"/>
      <c r="C50" s="261"/>
      <c r="D50" s="261"/>
      <c r="E50" s="261"/>
      <c r="F50" s="261"/>
      <c r="G50" s="261"/>
      <c r="H50" s="261"/>
      <c r="I50" s="261"/>
      <c r="J50" s="261"/>
      <c r="K50" s="261"/>
      <c r="L50" s="261"/>
      <c r="M50" s="261"/>
      <c r="N50" s="261"/>
      <c r="O50" s="261"/>
      <c r="P50" s="261"/>
      <c r="Q50" s="261"/>
      <c r="R50" s="261"/>
      <c r="S50" s="261"/>
      <c r="T50" s="261"/>
      <c r="U50" s="261"/>
      <c r="V50" s="261"/>
      <c r="W50" s="261"/>
      <c r="X50" s="261"/>
      <c r="Y50" s="261"/>
      <c r="Z50" s="261"/>
      <c r="AA50" s="261"/>
      <c r="AB50" s="261"/>
      <c r="AC50" s="261"/>
      <c r="AD50" s="261"/>
      <c r="AE50" s="261"/>
      <c r="AF50" s="261"/>
      <c r="AG50" s="261"/>
      <c r="AH50" s="261"/>
      <c r="AI50" s="261"/>
      <c r="AJ50" s="261"/>
      <c r="AK50" s="261"/>
    </row>
    <row r="51" spans="1:37" s="211" customFormat="1" ht="65.25" customHeight="1" x14ac:dyDescent="0.25">
      <c r="A51" s="631" t="s">
        <v>195</v>
      </c>
      <c r="B51" s="633" t="s">
        <v>172</v>
      </c>
      <c r="C51" s="635" t="s">
        <v>173</v>
      </c>
      <c r="D51" s="294" t="s">
        <v>135</v>
      </c>
      <c r="E51" s="294">
        <v>1</v>
      </c>
      <c r="F51" s="294" t="s">
        <v>5</v>
      </c>
      <c r="G51" s="294"/>
      <c r="H51" s="294" t="s">
        <v>136</v>
      </c>
      <c r="I51" s="294" t="s">
        <v>137</v>
      </c>
      <c r="J51" s="294">
        <v>87106</v>
      </c>
      <c r="K51" s="253" t="s">
        <v>150</v>
      </c>
      <c r="L51" s="333">
        <v>45998769</v>
      </c>
      <c r="M51" s="294">
        <v>1</v>
      </c>
      <c r="N51" s="294">
        <v>1</v>
      </c>
      <c r="O51" s="294">
        <v>2</v>
      </c>
      <c r="P51" s="295">
        <v>6.5</v>
      </c>
      <c r="Q51" s="296" t="s">
        <v>147</v>
      </c>
      <c r="R51" s="294" t="s">
        <v>148</v>
      </c>
      <c r="S51" s="294" t="s">
        <v>143</v>
      </c>
      <c r="T51" s="297" t="s">
        <v>13</v>
      </c>
      <c r="U51" s="294"/>
      <c r="V51" s="294"/>
      <c r="W51" s="298"/>
      <c r="X51" s="294"/>
      <c r="Y51" s="298"/>
      <c r="Z51" s="298"/>
      <c r="AA51" s="294"/>
      <c r="AB51" s="295">
        <v>1</v>
      </c>
      <c r="AC51" s="297" t="s">
        <v>13</v>
      </c>
      <c r="AD51" s="297">
        <v>2</v>
      </c>
      <c r="AE51" s="295">
        <v>0.5</v>
      </c>
      <c r="AF51" s="294"/>
      <c r="AG51" s="314" t="s">
        <v>119</v>
      </c>
      <c r="AH51" s="372">
        <v>0.5</v>
      </c>
      <c r="AI51" s="297" t="s">
        <v>67</v>
      </c>
      <c r="AJ51" s="297" t="s">
        <v>139</v>
      </c>
      <c r="AK51" s="299">
        <v>11123</v>
      </c>
    </row>
    <row r="52" spans="1:37" s="211" customFormat="1" ht="65.25" customHeight="1" thickBot="1" x14ac:dyDescent="0.3">
      <c r="A52" s="632"/>
      <c r="B52" s="634"/>
      <c r="C52" s="636"/>
      <c r="D52" s="300" t="s">
        <v>135</v>
      </c>
      <c r="E52" s="300">
        <v>1</v>
      </c>
      <c r="F52" s="300" t="s">
        <v>5</v>
      </c>
      <c r="G52" s="300"/>
      <c r="H52" s="300" t="s">
        <v>136</v>
      </c>
      <c r="I52" s="300" t="s">
        <v>137</v>
      </c>
      <c r="J52" s="300">
        <v>87106</v>
      </c>
      <c r="K52" s="253" t="s">
        <v>150</v>
      </c>
      <c r="L52" s="334">
        <v>45998769</v>
      </c>
      <c r="M52" s="300">
        <v>2</v>
      </c>
      <c r="N52" s="300">
        <v>1</v>
      </c>
      <c r="O52" s="300">
        <v>1</v>
      </c>
      <c r="P52" s="301">
        <v>7.5</v>
      </c>
      <c r="Q52" s="302" t="s">
        <v>147</v>
      </c>
      <c r="R52" s="300" t="s">
        <v>148</v>
      </c>
      <c r="S52" s="300" t="s">
        <v>143</v>
      </c>
      <c r="T52" s="303" t="s">
        <v>13</v>
      </c>
      <c r="U52" s="300"/>
      <c r="V52" s="300"/>
      <c r="W52" s="304"/>
      <c r="X52" s="300"/>
      <c r="Y52" s="304"/>
      <c r="Z52" s="304"/>
      <c r="AA52" s="300"/>
      <c r="AB52" s="305"/>
      <c r="AC52" s="303" t="s">
        <v>13</v>
      </c>
      <c r="AD52" s="303">
        <v>2</v>
      </c>
      <c r="AE52" s="301">
        <v>0.5</v>
      </c>
      <c r="AF52" s="300"/>
      <c r="AG52" s="314" t="s">
        <v>119</v>
      </c>
      <c r="AH52" s="372">
        <v>0.5</v>
      </c>
      <c r="AI52" s="303" t="s">
        <v>67</v>
      </c>
      <c r="AJ52" s="306" t="s">
        <v>139</v>
      </c>
      <c r="AK52" s="307"/>
    </row>
    <row r="53" spans="1:37" s="211" customFormat="1" ht="13.5" customHeight="1" thickBot="1" x14ac:dyDescent="0.3">
      <c r="A53" s="641"/>
      <c r="B53" s="642"/>
      <c r="C53" s="642"/>
      <c r="D53" s="642"/>
      <c r="E53" s="642"/>
      <c r="F53" s="642"/>
      <c r="G53" s="642"/>
      <c r="H53" s="642"/>
      <c r="I53" s="642"/>
      <c r="J53" s="642"/>
      <c r="K53" s="642"/>
      <c r="L53" s="642"/>
      <c r="M53" s="642"/>
      <c r="N53" s="642"/>
      <c r="O53" s="642"/>
      <c r="P53" s="642"/>
      <c r="Q53" s="642"/>
      <c r="R53" s="642"/>
      <c r="S53" s="642"/>
      <c r="T53" s="642"/>
      <c r="U53" s="642"/>
      <c r="V53" s="642"/>
      <c r="W53" s="642"/>
      <c r="X53" s="642"/>
      <c r="Y53" s="642"/>
      <c r="Z53" s="642"/>
      <c r="AA53" s="642"/>
      <c r="AB53" s="642"/>
      <c r="AC53" s="642"/>
      <c r="AD53" s="642"/>
      <c r="AE53" s="642"/>
      <c r="AF53" s="642"/>
      <c r="AG53" s="642"/>
      <c r="AH53" s="642"/>
      <c r="AI53" s="642"/>
      <c r="AJ53" s="642"/>
      <c r="AK53" s="642"/>
    </row>
    <row r="54" spans="1:37" s="211" customFormat="1" ht="65.25" customHeight="1" x14ac:dyDescent="0.25">
      <c r="A54" s="631">
        <v>38</v>
      </c>
      <c r="B54" s="633" t="s">
        <v>174</v>
      </c>
      <c r="C54" s="635" t="s">
        <v>175</v>
      </c>
      <c r="D54" s="294" t="s">
        <v>135</v>
      </c>
      <c r="E54" s="294">
        <v>1</v>
      </c>
      <c r="F54" s="294" t="s">
        <v>5</v>
      </c>
      <c r="G54" s="294"/>
      <c r="H54" s="294" t="s">
        <v>136</v>
      </c>
      <c r="I54" s="294" t="s">
        <v>137</v>
      </c>
      <c r="J54" s="294">
        <v>87106</v>
      </c>
      <c r="K54" s="253" t="s">
        <v>150</v>
      </c>
      <c r="L54" s="333">
        <v>45998769</v>
      </c>
      <c r="M54" s="294">
        <v>1</v>
      </c>
      <c r="N54" s="294">
        <v>1</v>
      </c>
      <c r="O54" s="294">
        <v>2</v>
      </c>
      <c r="P54" s="295">
        <v>5.5</v>
      </c>
      <c r="Q54" s="296" t="s">
        <v>147</v>
      </c>
      <c r="R54" s="294" t="s">
        <v>148</v>
      </c>
      <c r="S54" s="294" t="s">
        <v>143</v>
      </c>
      <c r="T54" s="297" t="s">
        <v>13</v>
      </c>
      <c r="U54" s="294"/>
      <c r="V54" s="294"/>
      <c r="W54" s="298"/>
      <c r="X54" s="294"/>
      <c r="Y54" s="298"/>
      <c r="Z54" s="298"/>
      <c r="AA54" s="308">
        <v>512300211746</v>
      </c>
      <c r="AB54" s="295">
        <v>2</v>
      </c>
      <c r="AC54" s="297" t="s">
        <v>13</v>
      </c>
      <c r="AD54" s="297">
        <v>2</v>
      </c>
      <c r="AE54" s="295">
        <v>0.5</v>
      </c>
      <c r="AF54" s="294"/>
      <c r="AG54" s="314" t="s">
        <v>119</v>
      </c>
      <c r="AH54" s="372">
        <v>0.5</v>
      </c>
      <c r="AI54" s="297" t="s">
        <v>67</v>
      </c>
      <c r="AJ54" s="297" t="s">
        <v>139</v>
      </c>
      <c r="AK54" s="299">
        <v>11123</v>
      </c>
    </row>
    <row r="55" spans="1:37" s="211" customFormat="1" ht="65.25" customHeight="1" thickBot="1" x14ac:dyDescent="0.3">
      <c r="A55" s="632"/>
      <c r="B55" s="634"/>
      <c r="C55" s="636"/>
      <c r="D55" s="300" t="s">
        <v>135</v>
      </c>
      <c r="E55" s="300">
        <v>1</v>
      </c>
      <c r="F55" s="300" t="s">
        <v>5</v>
      </c>
      <c r="G55" s="300"/>
      <c r="H55" s="300" t="s">
        <v>136</v>
      </c>
      <c r="I55" s="300" t="s">
        <v>137</v>
      </c>
      <c r="J55" s="300">
        <v>87106</v>
      </c>
      <c r="K55" s="253" t="s">
        <v>150</v>
      </c>
      <c r="L55" s="334">
        <v>45998769</v>
      </c>
      <c r="M55" s="300">
        <v>2</v>
      </c>
      <c r="N55" s="300">
        <v>1</v>
      </c>
      <c r="O55" s="300">
        <v>1</v>
      </c>
      <c r="P55" s="301">
        <v>7.5</v>
      </c>
      <c r="Q55" s="302" t="s">
        <v>147</v>
      </c>
      <c r="R55" s="300" t="s">
        <v>148</v>
      </c>
      <c r="S55" s="300" t="s">
        <v>143</v>
      </c>
      <c r="T55" s="303" t="s">
        <v>13</v>
      </c>
      <c r="U55" s="300"/>
      <c r="V55" s="300"/>
      <c r="W55" s="304"/>
      <c r="X55" s="300"/>
      <c r="Y55" s="304"/>
      <c r="Z55" s="304"/>
      <c r="AA55" s="300"/>
      <c r="AB55" s="305"/>
      <c r="AC55" s="303" t="s">
        <v>13</v>
      </c>
      <c r="AD55" s="303">
        <v>2</v>
      </c>
      <c r="AE55" s="301">
        <v>0.5</v>
      </c>
      <c r="AF55" s="300"/>
      <c r="AG55" s="314" t="s">
        <v>119</v>
      </c>
      <c r="AH55" s="372">
        <v>0.5</v>
      </c>
      <c r="AI55" s="303" t="s">
        <v>67</v>
      </c>
      <c r="AJ55" s="306" t="s">
        <v>139</v>
      </c>
      <c r="AK55" s="307"/>
    </row>
    <row r="56" spans="1:37" s="211" customFormat="1" ht="13.5" customHeight="1" thickBot="1" x14ac:dyDescent="0.3">
      <c r="A56" s="641"/>
      <c r="B56" s="642"/>
      <c r="C56" s="642"/>
      <c r="D56" s="642"/>
      <c r="E56" s="642"/>
      <c r="F56" s="642"/>
      <c r="G56" s="642"/>
      <c r="H56" s="642"/>
      <c r="I56" s="642"/>
      <c r="J56" s="642"/>
      <c r="K56" s="642"/>
      <c r="L56" s="642"/>
      <c r="M56" s="642"/>
      <c r="N56" s="642"/>
      <c r="O56" s="642"/>
      <c r="P56" s="642"/>
      <c r="Q56" s="642"/>
      <c r="R56" s="642"/>
      <c r="S56" s="642"/>
      <c r="T56" s="642"/>
      <c r="U56" s="642"/>
      <c r="V56" s="642"/>
      <c r="W56" s="642"/>
      <c r="X56" s="642"/>
      <c r="Y56" s="642"/>
      <c r="Z56" s="642"/>
      <c r="AA56" s="642"/>
      <c r="AB56" s="642"/>
      <c r="AC56" s="642"/>
      <c r="AD56" s="642"/>
      <c r="AE56" s="642"/>
      <c r="AF56" s="642"/>
      <c r="AG56" s="642"/>
      <c r="AH56" s="642"/>
      <c r="AI56" s="642"/>
      <c r="AJ56" s="642"/>
      <c r="AK56" s="642"/>
    </row>
    <row r="57" spans="1:37" s="211" customFormat="1" ht="65.25" customHeight="1" x14ac:dyDescent="0.25">
      <c r="A57" s="631">
        <v>39</v>
      </c>
      <c r="B57" s="633" t="s">
        <v>176</v>
      </c>
      <c r="C57" s="635" t="s">
        <v>175</v>
      </c>
      <c r="D57" s="294" t="s">
        <v>135</v>
      </c>
      <c r="E57" s="294">
        <v>1</v>
      </c>
      <c r="F57" s="294" t="s">
        <v>5</v>
      </c>
      <c r="G57" s="294"/>
      <c r="H57" s="294" t="s">
        <v>136</v>
      </c>
      <c r="I57" s="294" t="s">
        <v>137</v>
      </c>
      <c r="J57" s="294">
        <v>87106</v>
      </c>
      <c r="K57" s="253" t="s">
        <v>150</v>
      </c>
      <c r="L57" s="333">
        <v>45998769</v>
      </c>
      <c r="M57" s="294">
        <v>1</v>
      </c>
      <c r="N57" s="294">
        <v>1</v>
      </c>
      <c r="O57" s="294">
        <v>1</v>
      </c>
      <c r="P57" s="295">
        <v>6.5</v>
      </c>
      <c r="Q57" s="296" t="s">
        <v>147</v>
      </c>
      <c r="R57" s="294" t="s">
        <v>148</v>
      </c>
      <c r="S57" s="294" t="s">
        <v>143</v>
      </c>
      <c r="T57" s="297" t="s">
        <v>13</v>
      </c>
      <c r="U57" s="294"/>
      <c r="V57" s="294"/>
      <c r="W57" s="298"/>
      <c r="X57" s="294"/>
      <c r="Y57" s="298"/>
      <c r="Z57" s="298"/>
      <c r="AA57" s="296"/>
      <c r="AB57" s="295">
        <v>1</v>
      </c>
      <c r="AC57" s="297" t="s">
        <v>13</v>
      </c>
      <c r="AD57" s="297">
        <v>2</v>
      </c>
      <c r="AE57" s="295">
        <v>0.5</v>
      </c>
      <c r="AF57" s="294"/>
      <c r="AG57" s="314" t="s">
        <v>119</v>
      </c>
      <c r="AH57" s="372">
        <v>0.5</v>
      </c>
      <c r="AI57" s="297" t="s">
        <v>67</v>
      </c>
      <c r="AJ57" s="297" t="s">
        <v>139</v>
      </c>
      <c r="AK57" s="299">
        <v>11123</v>
      </c>
    </row>
    <row r="58" spans="1:37" s="211" customFormat="1" ht="65.25" customHeight="1" thickBot="1" x14ac:dyDescent="0.3">
      <c r="A58" s="632"/>
      <c r="B58" s="634"/>
      <c r="C58" s="636"/>
      <c r="D58" s="300" t="s">
        <v>135</v>
      </c>
      <c r="E58" s="300">
        <v>1</v>
      </c>
      <c r="F58" s="300" t="s">
        <v>5</v>
      </c>
      <c r="G58" s="300"/>
      <c r="H58" s="300" t="s">
        <v>136</v>
      </c>
      <c r="I58" s="300" t="s">
        <v>137</v>
      </c>
      <c r="J58" s="300">
        <v>87106</v>
      </c>
      <c r="K58" s="253" t="s">
        <v>150</v>
      </c>
      <c r="L58" s="334">
        <v>45998769</v>
      </c>
      <c r="M58" s="300">
        <v>2</v>
      </c>
      <c r="N58" s="300">
        <v>1</v>
      </c>
      <c r="O58" s="300">
        <v>1</v>
      </c>
      <c r="P58" s="301">
        <v>8.5</v>
      </c>
      <c r="Q58" s="302">
        <v>26100005738</v>
      </c>
      <c r="R58" s="300" t="s">
        <v>158</v>
      </c>
      <c r="S58" s="300" t="s">
        <v>143</v>
      </c>
      <c r="T58" s="303" t="s">
        <v>13</v>
      </c>
      <c r="U58" s="300"/>
      <c r="V58" s="300"/>
      <c r="W58" s="304"/>
      <c r="X58" s="300"/>
      <c r="Y58" s="304"/>
      <c r="Z58" s="304"/>
      <c r="AA58" s="309">
        <v>526100210502</v>
      </c>
      <c r="AB58" s="301">
        <v>1</v>
      </c>
      <c r="AC58" s="303" t="s">
        <v>13</v>
      </c>
      <c r="AD58" s="303">
        <v>2</v>
      </c>
      <c r="AE58" s="301">
        <v>0.5</v>
      </c>
      <c r="AF58" s="300"/>
      <c r="AG58" s="314" t="s">
        <v>119</v>
      </c>
      <c r="AH58" s="372">
        <v>0.5</v>
      </c>
      <c r="AI58" s="303" t="s">
        <v>67</v>
      </c>
      <c r="AJ58" s="303" t="s">
        <v>139</v>
      </c>
      <c r="AK58" s="310">
        <v>10123</v>
      </c>
    </row>
    <row r="59" spans="1:37" s="211" customFormat="1" ht="13.5" customHeight="1" thickBot="1" x14ac:dyDescent="0.3">
      <c r="A59" s="618"/>
      <c r="B59" s="619"/>
      <c r="C59" s="619"/>
      <c r="D59" s="619"/>
      <c r="E59" s="619"/>
      <c r="F59" s="619"/>
      <c r="G59" s="619"/>
      <c r="H59" s="619"/>
      <c r="I59" s="619"/>
      <c r="J59" s="619"/>
      <c r="K59" s="619"/>
      <c r="L59" s="619"/>
      <c r="M59" s="619"/>
      <c r="N59" s="619"/>
      <c r="O59" s="619"/>
      <c r="P59" s="619"/>
      <c r="Q59" s="619"/>
      <c r="R59" s="619"/>
      <c r="S59" s="619"/>
      <c r="T59" s="619"/>
      <c r="U59" s="619"/>
      <c r="V59" s="619"/>
      <c r="W59" s="619"/>
      <c r="X59" s="619"/>
      <c r="Y59" s="619"/>
      <c r="Z59" s="619"/>
      <c r="AA59" s="619"/>
      <c r="AB59" s="619"/>
      <c r="AC59" s="619"/>
      <c r="AD59" s="619"/>
      <c r="AE59" s="619"/>
      <c r="AF59" s="619"/>
      <c r="AG59" s="619"/>
      <c r="AH59" s="619"/>
      <c r="AI59" s="619"/>
      <c r="AJ59" s="619"/>
      <c r="AK59" s="619"/>
    </row>
    <row r="60" spans="1:37" s="211" customFormat="1" ht="81.75" customHeight="1" x14ac:dyDescent="0.25">
      <c r="A60" s="631">
        <v>40</v>
      </c>
      <c r="B60" s="644" t="s">
        <v>177</v>
      </c>
      <c r="C60" s="613" t="s">
        <v>178</v>
      </c>
      <c r="D60" s="253" t="s">
        <v>135</v>
      </c>
      <c r="E60" s="253">
        <v>1</v>
      </c>
      <c r="F60" s="253" t="s">
        <v>5</v>
      </c>
      <c r="G60" s="253"/>
      <c r="H60" s="253" t="s">
        <v>136</v>
      </c>
      <c r="I60" s="253" t="s">
        <v>137</v>
      </c>
      <c r="J60" s="253">
        <v>87106</v>
      </c>
      <c r="K60" s="253" t="s">
        <v>150</v>
      </c>
      <c r="L60" s="254">
        <v>45998766</v>
      </c>
      <c r="M60" s="253">
        <v>1</v>
      </c>
      <c r="N60" s="253">
        <v>1</v>
      </c>
      <c r="O60" s="253">
        <v>1</v>
      </c>
      <c r="P60" s="255">
        <v>5</v>
      </c>
      <c r="Q60" s="256" t="s">
        <v>147</v>
      </c>
      <c r="R60" s="253" t="s">
        <v>148</v>
      </c>
      <c r="S60" s="253" t="s">
        <v>143</v>
      </c>
      <c r="T60" s="257" t="s">
        <v>13</v>
      </c>
      <c r="U60" s="253"/>
      <c r="V60" s="253"/>
      <c r="W60" s="253"/>
      <c r="X60" s="253"/>
      <c r="Y60" s="253"/>
      <c r="Z60" s="255">
        <v>0.5</v>
      </c>
      <c r="AA60" s="255">
        <v>512300211500</v>
      </c>
      <c r="AB60" s="255">
        <v>1.5</v>
      </c>
      <c r="AC60" s="257" t="s">
        <v>13</v>
      </c>
      <c r="AD60" s="257">
        <v>2</v>
      </c>
      <c r="AE60" s="255">
        <v>1</v>
      </c>
      <c r="AF60" s="257" t="s">
        <v>179</v>
      </c>
      <c r="AG60" s="314" t="s">
        <v>119</v>
      </c>
      <c r="AH60" s="372">
        <v>0.5</v>
      </c>
      <c r="AI60" s="257" t="s">
        <v>67</v>
      </c>
      <c r="AJ60" s="257" t="s">
        <v>139</v>
      </c>
      <c r="AK60" s="259">
        <v>11123</v>
      </c>
    </row>
    <row r="61" spans="1:37" s="211" customFormat="1" ht="74.25" customHeight="1" thickBot="1" x14ac:dyDescent="0.3">
      <c r="A61" s="632"/>
      <c r="B61" s="644"/>
      <c r="C61" s="614"/>
      <c r="D61" s="253" t="s">
        <v>135</v>
      </c>
      <c r="E61" s="253">
        <v>1</v>
      </c>
      <c r="F61" s="253" t="s">
        <v>5</v>
      </c>
      <c r="G61" s="253"/>
      <c r="H61" s="253" t="s">
        <v>136</v>
      </c>
      <c r="I61" s="253" t="s">
        <v>137</v>
      </c>
      <c r="J61" s="253">
        <v>87106</v>
      </c>
      <c r="K61" s="253" t="s">
        <v>150</v>
      </c>
      <c r="L61" s="254">
        <v>45998766</v>
      </c>
      <c r="M61" s="253">
        <v>2</v>
      </c>
      <c r="N61" s="253">
        <v>1</v>
      </c>
      <c r="O61" s="253">
        <v>1</v>
      </c>
      <c r="P61" s="255">
        <v>6</v>
      </c>
      <c r="Q61" s="256" t="s">
        <v>147</v>
      </c>
      <c r="R61" s="253" t="s">
        <v>148</v>
      </c>
      <c r="S61" s="253" t="s">
        <v>143</v>
      </c>
      <c r="T61" s="311" t="s">
        <v>13</v>
      </c>
      <c r="U61" s="253"/>
      <c r="V61" s="253"/>
      <c r="W61" s="253"/>
      <c r="X61" s="253"/>
      <c r="Y61" s="253"/>
      <c r="Z61" s="255">
        <v>0.5</v>
      </c>
      <c r="AA61" s="253"/>
      <c r="AB61" s="255">
        <v>0.5</v>
      </c>
      <c r="AC61" s="257" t="s">
        <v>13</v>
      </c>
      <c r="AD61" s="257">
        <v>2</v>
      </c>
      <c r="AE61" s="255">
        <v>1</v>
      </c>
      <c r="AF61" s="257" t="s">
        <v>179</v>
      </c>
      <c r="AG61" s="314" t="s">
        <v>119</v>
      </c>
      <c r="AH61" s="372">
        <v>0.5</v>
      </c>
      <c r="AI61" s="257" t="s">
        <v>67</v>
      </c>
      <c r="AJ61" s="257" t="s">
        <v>139</v>
      </c>
      <c r="AK61" s="259">
        <v>11123</v>
      </c>
    </row>
    <row r="62" spans="1:37" s="211" customFormat="1" ht="13.5" customHeight="1" thickBot="1" x14ac:dyDescent="0.3">
      <c r="A62" s="660"/>
      <c r="B62" s="661"/>
      <c r="C62" s="661"/>
      <c r="D62" s="619"/>
      <c r="E62" s="619"/>
      <c r="F62" s="619"/>
      <c r="G62" s="619"/>
      <c r="H62" s="619"/>
      <c r="I62" s="619"/>
      <c r="J62" s="619"/>
      <c r="K62" s="619"/>
      <c r="L62" s="619"/>
      <c r="M62" s="619"/>
      <c r="N62" s="619"/>
      <c r="O62" s="619"/>
      <c r="P62" s="619"/>
      <c r="Q62" s="619"/>
      <c r="R62" s="619"/>
      <c r="S62" s="619"/>
      <c r="T62" s="619"/>
      <c r="U62" s="619"/>
      <c r="V62" s="619"/>
      <c r="W62" s="619"/>
      <c r="X62" s="619"/>
      <c r="Y62" s="619"/>
      <c r="Z62" s="619"/>
      <c r="AA62" s="619"/>
      <c r="AB62" s="619"/>
      <c r="AC62" s="619"/>
      <c r="AD62" s="619"/>
      <c r="AE62" s="619"/>
      <c r="AF62" s="619"/>
      <c r="AG62" s="619"/>
      <c r="AH62" s="619"/>
      <c r="AI62" s="619"/>
      <c r="AJ62" s="619"/>
      <c r="AK62" s="619"/>
    </row>
    <row r="63" spans="1:37" s="10" customFormat="1" ht="12.75" customHeight="1" x14ac:dyDescent="0.2">
      <c r="A63" s="560" t="s">
        <v>196</v>
      </c>
      <c r="B63" s="654" t="s">
        <v>92</v>
      </c>
      <c r="C63" s="655"/>
      <c r="D63" s="190" t="s">
        <v>4</v>
      </c>
      <c r="E63" s="126">
        <v>1</v>
      </c>
      <c r="F63" s="126" t="s">
        <v>5</v>
      </c>
      <c r="G63" s="126"/>
      <c r="H63" s="126" t="s">
        <v>6</v>
      </c>
      <c r="I63" s="126" t="s">
        <v>10</v>
      </c>
      <c r="J63" s="126">
        <v>45429</v>
      </c>
      <c r="K63" s="126" t="s">
        <v>63</v>
      </c>
      <c r="L63" s="126">
        <v>123456</v>
      </c>
      <c r="M63" s="126">
        <v>1</v>
      </c>
      <c r="N63" s="126">
        <v>1</v>
      </c>
      <c r="O63" s="126">
        <v>1</v>
      </c>
      <c r="P63" s="127">
        <v>5.7</v>
      </c>
      <c r="Q63" s="128">
        <v>28200003577</v>
      </c>
      <c r="R63" s="126" t="s">
        <v>74</v>
      </c>
      <c r="S63" s="126" t="s">
        <v>7</v>
      </c>
      <c r="T63" s="126" t="s">
        <v>8</v>
      </c>
      <c r="U63" s="126"/>
      <c r="V63" s="126"/>
      <c r="W63" s="127"/>
      <c r="X63" s="126"/>
      <c r="Y63" s="127"/>
      <c r="Z63" s="127"/>
      <c r="AA63" s="126"/>
      <c r="AB63" s="127"/>
      <c r="AC63" s="126"/>
      <c r="AD63" s="126"/>
      <c r="AE63" s="127"/>
      <c r="AF63" s="126"/>
      <c r="AG63" s="126"/>
      <c r="AH63" s="127"/>
      <c r="AI63" s="126"/>
      <c r="AJ63" s="126"/>
      <c r="AK63" s="129"/>
    </row>
    <row r="64" spans="1:37" s="10" customFormat="1" ht="15" customHeight="1" x14ac:dyDescent="0.2">
      <c r="A64" s="652"/>
      <c r="B64" s="656"/>
      <c r="C64" s="657"/>
      <c r="D64" s="203"/>
      <c r="E64" s="204"/>
      <c r="F64" s="204"/>
      <c r="G64" s="204"/>
      <c r="H64" s="204"/>
      <c r="I64" s="204"/>
      <c r="J64" s="204"/>
      <c r="K64" s="204"/>
      <c r="L64" s="204"/>
      <c r="M64" s="204"/>
      <c r="N64" s="204"/>
      <c r="O64" s="204"/>
      <c r="P64" s="33"/>
      <c r="Q64" s="204"/>
      <c r="R64" s="204"/>
      <c r="S64" s="204"/>
      <c r="T64" s="204"/>
      <c r="U64" s="204"/>
      <c r="V64" s="204"/>
      <c r="W64" s="204"/>
      <c r="X64" s="204"/>
      <c r="Y64" s="204"/>
      <c r="Z64" s="204"/>
      <c r="AA64" s="204"/>
      <c r="AB64" s="33"/>
      <c r="AC64" s="204"/>
      <c r="AD64" s="204"/>
      <c r="AE64" s="204"/>
      <c r="AF64" s="204"/>
      <c r="AG64" s="204"/>
      <c r="AH64" s="204"/>
      <c r="AI64" s="204"/>
      <c r="AJ64" s="204"/>
      <c r="AK64" s="205"/>
    </row>
    <row r="65" spans="1:114" s="10" customFormat="1" ht="15" customHeight="1" x14ac:dyDescent="0.2">
      <c r="A65" s="652"/>
      <c r="B65" s="656"/>
      <c r="C65" s="657"/>
      <c r="D65" s="203" t="s">
        <v>4</v>
      </c>
      <c r="E65" s="204">
        <v>1</v>
      </c>
      <c r="F65" s="204" t="s">
        <v>5</v>
      </c>
      <c r="G65" s="204"/>
      <c r="H65" s="204" t="s">
        <v>6</v>
      </c>
      <c r="I65" s="204" t="s">
        <v>10</v>
      </c>
      <c r="J65" s="204">
        <v>45429</v>
      </c>
      <c r="K65" s="204" t="s">
        <v>63</v>
      </c>
      <c r="L65" s="204">
        <v>123456</v>
      </c>
      <c r="M65" s="204">
        <v>1</v>
      </c>
      <c r="N65" s="204">
        <v>1</v>
      </c>
      <c r="O65" s="204">
        <v>1</v>
      </c>
      <c r="P65" s="34">
        <v>5.2</v>
      </c>
      <c r="Q65" s="41">
        <v>28200003577</v>
      </c>
      <c r="R65" s="204" t="s">
        <v>74</v>
      </c>
      <c r="S65" s="204" t="s">
        <v>7</v>
      </c>
      <c r="T65" s="32" t="s">
        <v>13</v>
      </c>
      <c r="U65" s="204"/>
      <c r="V65" s="204"/>
      <c r="W65" s="33"/>
      <c r="X65" s="204"/>
      <c r="Y65" s="33"/>
      <c r="Z65" s="35"/>
      <c r="AA65" s="204"/>
      <c r="AB65" s="34">
        <v>0.5</v>
      </c>
      <c r="AC65" s="202"/>
      <c r="AD65" s="202"/>
      <c r="AE65" s="35"/>
      <c r="AF65" s="202"/>
      <c r="AG65" s="59" t="s">
        <v>129</v>
      </c>
      <c r="AH65" s="207">
        <v>0.25</v>
      </c>
      <c r="AI65" s="202"/>
      <c r="AJ65" s="32">
        <v>123456789</v>
      </c>
      <c r="AK65" s="188" t="s">
        <v>80</v>
      </c>
    </row>
    <row r="66" spans="1:114" s="10" customFormat="1" ht="15" customHeight="1" x14ac:dyDescent="0.2">
      <c r="A66" s="652"/>
      <c r="B66" s="656"/>
      <c r="C66" s="657"/>
      <c r="D66" s="203" t="s">
        <v>4</v>
      </c>
      <c r="E66" s="204">
        <v>1</v>
      </c>
      <c r="F66" s="204" t="s">
        <v>5</v>
      </c>
      <c r="G66" s="204"/>
      <c r="H66" s="204" t="s">
        <v>6</v>
      </c>
      <c r="I66" s="204" t="s">
        <v>10</v>
      </c>
      <c r="J66" s="204">
        <v>45429</v>
      </c>
      <c r="K66" s="204" t="s">
        <v>64</v>
      </c>
      <c r="L66" s="204">
        <v>123456</v>
      </c>
      <c r="M66" s="204">
        <v>2</v>
      </c>
      <c r="N66" s="204">
        <v>1</v>
      </c>
      <c r="O66" s="204">
        <v>1</v>
      </c>
      <c r="P66" s="34">
        <v>5.2</v>
      </c>
      <c r="Q66" s="41">
        <v>28200003577</v>
      </c>
      <c r="R66" s="204" t="s">
        <v>74</v>
      </c>
      <c r="S66" s="204" t="s">
        <v>7</v>
      </c>
      <c r="T66" s="32" t="s">
        <v>13</v>
      </c>
      <c r="U66" s="204"/>
      <c r="V66" s="204"/>
      <c r="W66" s="33"/>
      <c r="X66" s="204"/>
      <c r="Y66" s="33"/>
      <c r="Z66" s="35"/>
      <c r="AA66" s="204"/>
      <c r="AB66" s="34">
        <v>0.5</v>
      </c>
      <c r="AC66" s="202"/>
      <c r="AD66" s="202"/>
      <c r="AE66" s="35"/>
      <c r="AF66" s="202"/>
      <c r="AG66" s="59" t="s">
        <v>129</v>
      </c>
      <c r="AH66" s="207">
        <v>0.25</v>
      </c>
      <c r="AI66" s="202"/>
      <c r="AJ66" s="32">
        <v>123456789</v>
      </c>
      <c r="AK66" s="188" t="s">
        <v>80</v>
      </c>
    </row>
    <row r="67" spans="1:114" s="210" customFormat="1" ht="15.75" customHeight="1" thickBot="1" x14ac:dyDescent="0.25">
      <c r="A67" s="652"/>
      <c r="B67" s="656"/>
      <c r="C67" s="657"/>
      <c r="D67" s="203"/>
      <c r="E67" s="204"/>
      <c r="F67" s="204"/>
      <c r="G67" s="204"/>
      <c r="H67" s="204"/>
      <c r="I67" s="204"/>
      <c r="J67" s="204"/>
      <c r="K67" s="204"/>
      <c r="L67" s="204"/>
      <c r="M67" s="204"/>
      <c r="N67" s="204"/>
      <c r="O67" s="204"/>
      <c r="P67" s="33"/>
      <c r="Q67" s="204"/>
      <c r="R67" s="204"/>
      <c r="S67" s="204"/>
      <c r="T67" s="204"/>
      <c r="U67" s="204"/>
      <c r="V67" s="204"/>
      <c r="W67" s="204"/>
      <c r="X67" s="204"/>
      <c r="Y67" s="204"/>
      <c r="Z67" s="204"/>
      <c r="AA67" s="204"/>
      <c r="AB67" s="33"/>
      <c r="AC67" s="204"/>
      <c r="AD67" s="204"/>
      <c r="AE67" s="204"/>
      <c r="AF67" s="204"/>
      <c r="AG67" s="204"/>
      <c r="AH67" s="204"/>
      <c r="AI67" s="204"/>
      <c r="AJ67" s="204"/>
      <c r="AK67" s="205"/>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0"/>
      <c r="BP67" s="10"/>
      <c r="BQ67" s="10"/>
      <c r="BR67" s="10"/>
      <c r="BS67" s="10"/>
      <c r="BT67" s="10"/>
      <c r="BU67" s="10"/>
      <c r="BV67" s="10"/>
      <c r="BW67" s="10"/>
      <c r="BX67" s="10"/>
      <c r="BY67" s="10"/>
      <c r="BZ67" s="10"/>
      <c r="CA67" s="10"/>
      <c r="CB67" s="10"/>
      <c r="CC67" s="10"/>
      <c r="CD67" s="10"/>
      <c r="CE67" s="10"/>
      <c r="CF67" s="10"/>
      <c r="CG67" s="10"/>
      <c r="CH67" s="10"/>
      <c r="CI67" s="10"/>
      <c r="CJ67" s="10"/>
      <c r="CK67" s="10"/>
      <c r="CL67" s="10"/>
      <c r="CM67" s="10"/>
      <c r="CN67" s="10"/>
      <c r="CO67" s="10"/>
      <c r="CP67" s="10"/>
      <c r="CQ67" s="10"/>
      <c r="CR67" s="10"/>
      <c r="CS67" s="10"/>
      <c r="CT67" s="10"/>
      <c r="CU67" s="10"/>
      <c r="CV67" s="10"/>
      <c r="CW67" s="10"/>
      <c r="CX67" s="10"/>
      <c r="CY67" s="10"/>
      <c r="CZ67" s="10"/>
      <c r="DA67" s="10"/>
      <c r="DB67" s="10"/>
      <c r="DC67" s="10"/>
      <c r="DD67" s="10"/>
      <c r="DE67" s="10"/>
      <c r="DF67" s="10"/>
      <c r="DG67" s="10"/>
      <c r="DH67" s="10"/>
      <c r="DI67" s="10"/>
      <c r="DJ67" s="10"/>
    </row>
    <row r="68" spans="1:114" s="2" customFormat="1" ht="15.75" customHeight="1" thickBot="1" x14ac:dyDescent="0.25">
      <c r="A68" s="561"/>
      <c r="B68" s="658"/>
      <c r="C68" s="659"/>
      <c r="D68" s="191" t="s">
        <v>4</v>
      </c>
      <c r="E68" s="131">
        <v>1</v>
      </c>
      <c r="F68" s="131" t="s">
        <v>5</v>
      </c>
      <c r="G68" s="131"/>
      <c r="H68" s="131" t="s">
        <v>6</v>
      </c>
      <c r="I68" s="131" t="s">
        <v>10</v>
      </c>
      <c r="J68" s="131">
        <v>45429</v>
      </c>
      <c r="K68" s="131" t="s">
        <v>63</v>
      </c>
      <c r="L68" s="131">
        <v>123456</v>
      </c>
      <c r="M68" s="131">
        <v>1</v>
      </c>
      <c r="N68" s="131">
        <v>1</v>
      </c>
      <c r="O68" s="131">
        <v>2</v>
      </c>
      <c r="P68" s="132">
        <v>5.2</v>
      </c>
      <c r="Q68" s="133">
        <v>28200003577</v>
      </c>
      <c r="R68" s="131" t="s">
        <v>74</v>
      </c>
      <c r="S68" s="131" t="s">
        <v>7</v>
      </c>
      <c r="T68" s="137" t="s">
        <v>13</v>
      </c>
      <c r="U68" s="131"/>
      <c r="V68" s="131"/>
      <c r="W68" s="135"/>
      <c r="X68" s="131"/>
      <c r="Y68" s="135"/>
      <c r="Z68" s="136"/>
      <c r="AA68" s="131"/>
      <c r="AB68" s="132">
        <v>0.5</v>
      </c>
      <c r="AC68" s="134"/>
      <c r="AD68" s="134"/>
      <c r="AE68" s="136"/>
      <c r="AF68" s="134"/>
      <c r="AG68" s="83" t="s">
        <v>129</v>
      </c>
      <c r="AH68" s="208">
        <v>0.25</v>
      </c>
      <c r="AI68" s="134"/>
      <c r="AJ68" s="137">
        <v>123456789</v>
      </c>
      <c r="AK68" s="189" t="s">
        <v>80</v>
      </c>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c r="BL68" s="10"/>
      <c r="BM68" s="10"/>
      <c r="BN68" s="10"/>
      <c r="BO68" s="10"/>
      <c r="BP68" s="10"/>
      <c r="BQ68" s="10"/>
      <c r="BR68" s="10"/>
      <c r="BS68" s="10"/>
      <c r="BT68" s="10"/>
      <c r="BU68" s="10"/>
      <c r="BV68" s="10"/>
      <c r="BW68" s="10"/>
      <c r="BX68" s="10"/>
      <c r="BY68" s="10"/>
      <c r="BZ68" s="10"/>
      <c r="CA68" s="10"/>
      <c r="CB68" s="10"/>
      <c r="CC68" s="10"/>
      <c r="CD68" s="10"/>
      <c r="CE68" s="10"/>
      <c r="CF68" s="10"/>
      <c r="CG68" s="10"/>
      <c r="CH68" s="10"/>
      <c r="CI68" s="10"/>
      <c r="CJ68" s="10"/>
      <c r="CK68" s="10"/>
      <c r="CL68" s="10"/>
      <c r="CM68" s="10"/>
      <c r="CN68" s="10"/>
      <c r="CO68" s="10"/>
      <c r="CP68" s="10"/>
      <c r="CQ68" s="10"/>
      <c r="CR68" s="10"/>
      <c r="CS68" s="10"/>
      <c r="CT68" s="10"/>
      <c r="CU68" s="10"/>
      <c r="CV68" s="10"/>
      <c r="CW68" s="10"/>
      <c r="CX68" s="10"/>
      <c r="CY68" s="10"/>
      <c r="CZ68" s="10"/>
      <c r="DA68" s="10"/>
      <c r="DB68" s="10"/>
      <c r="DC68" s="10"/>
      <c r="DD68" s="10"/>
      <c r="DE68" s="10"/>
      <c r="DF68" s="10"/>
      <c r="DG68" s="10"/>
      <c r="DH68" s="10"/>
      <c r="DI68" s="10"/>
      <c r="DJ68" s="10"/>
    </row>
    <row r="69" spans="1:114" s="211" customFormat="1" ht="13.5" customHeight="1" thickBot="1" x14ac:dyDescent="0.3">
      <c r="A69" s="641"/>
      <c r="B69" s="653"/>
      <c r="C69" s="653"/>
      <c r="D69" s="619"/>
      <c r="E69" s="619"/>
      <c r="F69" s="619"/>
      <c r="G69" s="619"/>
      <c r="H69" s="619"/>
      <c r="I69" s="619"/>
      <c r="J69" s="619"/>
      <c r="K69" s="619"/>
      <c r="L69" s="619"/>
      <c r="M69" s="619"/>
      <c r="N69" s="619"/>
      <c r="O69" s="619"/>
      <c r="P69" s="619"/>
      <c r="Q69" s="619"/>
      <c r="R69" s="619"/>
      <c r="S69" s="619"/>
      <c r="T69" s="619"/>
      <c r="U69" s="619"/>
      <c r="V69" s="619"/>
      <c r="W69" s="619"/>
      <c r="X69" s="619"/>
      <c r="Y69" s="619"/>
      <c r="Z69" s="619"/>
      <c r="AA69" s="619"/>
      <c r="AB69" s="619"/>
      <c r="AC69" s="619"/>
      <c r="AD69" s="619"/>
      <c r="AE69" s="619"/>
      <c r="AF69" s="619"/>
      <c r="AG69" s="619"/>
      <c r="AH69" s="619"/>
      <c r="AI69" s="619"/>
      <c r="AJ69" s="619"/>
      <c r="AK69" s="619"/>
    </row>
    <row r="70" spans="1:114" s="2" customFormat="1" ht="12.75" customHeight="1" x14ac:dyDescent="0.2">
      <c r="A70" s="560" t="s">
        <v>197</v>
      </c>
      <c r="B70" s="654" t="s">
        <v>115</v>
      </c>
      <c r="C70" s="655"/>
      <c r="D70" s="190" t="s">
        <v>4</v>
      </c>
      <c r="E70" s="126">
        <v>1</v>
      </c>
      <c r="F70" s="126" t="s">
        <v>5</v>
      </c>
      <c r="G70" s="126"/>
      <c r="H70" s="126" t="s">
        <v>6</v>
      </c>
      <c r="I70" s="126" t="s">
        <v>10</v>
      </c>
      <c r="J70" s="126">
        <v>45429</v>
      </c>
      <c r="K70" s="126" t="s">
        <v>63</v>
      </c>
      <c r="L70" s="126">
        <v>123456</v>
      </c>
      <c r="M70" s="126">
        <v>1</v>
      </c>
      <c r="N70" s="126">
        <v>1</v>
      </c>
      <c r="O70" s="126">
        <v>1</v>
      </c>
      <c r="P70" s="127">
        <v>5.7</v>
      </c>
      <c r="Q70" s="128">
        <v>28200003577</v>
      </c>
      <c r="R70" s="126" t="s">
        <v>74</v>
      </c>
      <c r="S70" s="126" t="s">
        <v>7</v>
      </c>
      <c r="T70" s="126" t="s">
        <v>8</v>
      </c>
      <c r="U70" s="126"/>
      <c r="V70" s="126"/>
      <c r="W70" s="127"/>
      <c r="X70" s="126"/>
      <c r="Y70" s="127"/>
      <c r="Z70" s="127"/>
      <c r="AA70" s="126"/>
      <c r="AB70" s="127"/>
      <c r="AC70" s="126"/>
      <c r="AD70" s="126"/>
      <c r="AE70" s="127"/>
      <c r="AF70" s="126"/>
      <c r="AG70" s="126"/>
      <c r="AH70" s="127"/>
      <c r="AI70" s="126"/>
      <c r="AJ70" s="126"/>
      <c r="AK70" s="129"/>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c r="BY70" s="10"/>
      <c r="BZ70" s="10"/>
      <c r="CA70" s="10"/>
      <c r="CB70" s="10"/>
      <c r="CC70" s="10"/>
      <c r="CD70" s="10"/>
      <c r="CE70" s="10"/>
      <c r="CF70" s="10"/>
      <c r="CG70" s="10"/>
      <c r="CH70" s="10"/>
      <c r="CI70" s="10"/>
      <c r="CJ70" s="10"/>
      <c r="CK70" s="10"/>
      <c r="CL70" s="10"/>
      <c r="CM70" s="10"/>
      <c r="CN70" s="10"/>
      <c r="CO70" s="10"/>
      <c r="CP70" s="10"/>
      <c r="CQ70" s="10"/>
      <c r="CR70" s="10"/>
      <c r="CS70" s="10"/>
      <c r="CT70" s="10"/>
      <c r="CU70" s="10"/>
      <c r="CV70" s="10"/>
      <c r="CW70" s="10"/>
      <c r="CX70" s="10"/>
      <c r="CY70" s="10"/>
      <c r="CZ70" s="10"/>
      <c r="DA70" s="10"/>
      <c r="DB70" s="10"/>
      <c r="DC70" s="10"/>
      <c r="DD70" s="10"/>
      <c r="DE70" s="10"/>
      <c r="DF70" s="10"/>
      <c r="DG70" s="10"/>
      <c r="DH70" s="10"/>
      <c r="DI70" s="10"/>
      <c r="DJ70" s="10"/>
    </row>
    <row r="71" spans="1:114" s="2" customFormat="1" ht="15" customHeight="1" x14ac:dyDescent="0.2">
      <c r="A71" s="652"/>
      <c r="B71" s="656"/>
      <c r="C71" s="657"/>
      <c r="D71" s="203"/>
      <c r="E71" s="204"/>
      <c r="F71" s="204"/>
      <c r="G71" s="204"/>
      <c r="H71" s="204"/>
      <c r="I71" s="204"/>
      <c r="J71" s="204"/>
      <c r="K71" s="204"/>
      <c r="L71" s="204"/>
      <c r="M71" s="204"/>
      <c r="N71" s="204"/>
      <c r="O71" s="204"/>
      <c r="P71" s="33"/>
      <c r="Q71" s="204"/>
      <c r="R71" s="204"/>
      <c r="S71" s="204"/>
      <c r="T71" s="204"/>
      <c r="U71" s="204"/>
      <c r="V71" s="204"/>
      <c r="W71" s="204"/>
      <c r="X71" s="204"/>
      <c r="Y71" s="204"/>
      <c r="Z71" s="204"/>
      <c r="AA71" s="204"/>
      <c r="AB71" s="33"/>
      <c r="AC71" s="204"/>
      <c r="AD71" s="204"/>
      <c r="AE71" s="204"/>
      <c r="AF71" s="204"/>
      <c r="AG71" s="204"/>
      <c r="AH71" s="204"/>
      <c r="AI71" s="204"/>
      <c r="AJ71" s="204"/>
      <c r="AK71" s="205"/>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c r="BN71" s="10"/>
      <c r="BO71" s="10"/>
      <c r="BP71" s="10"/>
      <c r="BQ71" s="10"/>
      <c r="BR71" s="10"/>
      <c r="BS71" s="10"/>
      <c r="BT71" s="10"/>
      <c r="BU71" s="10"/>
      <c r="BV71" s="10"/>
      <c r="BW71" s="10"/>
      <c r="BX71" s="10"/>
      <c r="BY71" s="10"/>
      <c r="BZ71" s="10"/>
      <c r="CA71" s="10"/>
      <c r="CB71" s="10"/>
      <c r="CC71" s="10"/>
      <c r="CD71" s="10"/>
      <c r="CE71" s="10"/>
      <c r="CF71" s="10"/>
      <c r="CG71" s="10"/>
      <c r="CH71" s="10"/>
      <c r="CI71" s="10"/>
      <c r="CJ71" s="10"/>
      <c r="CK71" s="10"/>
      <c r="CL71" s="10"/>
      <c r="CM71" s="10"/>
      <c r="CN71" s="10"/>
      <c r="CO71" s="10"/>
      <c r="CP71" s="10"/>
      <c r="CQ71" s="10"/>
      <c r="CR71" s="10"/>
      <c r="CS71" s="10"/>
      <c r="CT71" s="10"/>
      <c r="CU71" s="10"/>
      <c r="CV71" s="10"/>
      <c r="CW71" s="10"/>
      <c r="CX71" s="10"/>
      <c r="CY71" s="10"/>
      <c r="CZ71" s="10"/>
      <c r="DA71" s="10"/>
      <c r="DB71" s="10"/>
      <c r="DC71" s="10"/>
      <c r="DD71" s="10"/>
      <c r="DE71" s="10"/>
      <c r="DF71" s="10"/>
      <c r="DG71" s="10"/>
      <c r="DH71" s="10"/>
      <c r="DI71" s="10"/>
      <c r="DJ71" s="10"/>
    </row>
    <row r="72" spans="1:114" s="2" customFormat="1" ht="15" customHeight="1" x14ac:dyDescent="0.2">
      <c r="A72" s="652"/>
      <c r="B72" s="656"/>
      <c r="C72" s="657"/>
      <c r="D72" s="203" t="s">
        <v>4</v>
      </c>
      <c r="E72" s="204">
        <v>1</v>
      </c>
      <c r="F72" s="204" t="s">
        <v>5</v>
      </c>
      <c r="G72" s="204"/>
      <c r="H72" s="204" t="s">
        <v>6</v>
      </c>
      <c r="I72" s="204" t="s">
        <v>10</v>
      </c>
      <c r="J72" s="204">
        <v>45429</v>
      </c>
      <c r="K72" s="204" t="s">
        <v>63</v>
      </c>
      <c r="L72" s="204">
        <v>123456</v>
      </c>
      <c r="M72" s="204">
        <v>1</v>
      </c>
      <c r="N72" s="204">
        <v>1</v>
      </c>
      <c r="O72" s="204">
        <v>1</v>
      </c>
      <c r="P72" s="34">
        <v>5.2</v>
      </c>
      <c r="Q72" s="41">
        <v>28200003577</v>
      </c>
      <c r="R72" s="204" t="s">
        <v>74</v>
      </c>
      <c r="S72" s="204" t="s">
        <v>7</v>
      </c>
      <c r="T72" s="32" t="s">
        <v>13</v>
      </c>
      <c r="U72" s="204"/>
      <c r="V72" s="204"/>
      <c r="W72" s="33"/>
      <c r="X72" s="204"/>
      <c r="Y72" s="33"/>
      <c r="Z72" s="35"/>
      <c r="AA72" s="204"/>
      <c r="AB72" s="34">
        <v>0.5</v>
      </c>
      <c r="AC72" s="202"/>
      <c r="AD72" s="202"/>
      <c r="AE72" s="35"/>
      <c r="AF72" s="202"/>
      <c r="AG72" s="59" t="s">
        <v>129</v>
      </c>
      <c r="AH72" s="207">
        <v>0.25</v>
      </c>
      <c r="AI72" s="202"/>
      <c r="AJ72" s="32">
        <v>123456789</v>
      </c>
      <c r="AK72" s="188" t="s">
        <v>80</v>
      </c>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10"/>
      <c r="BN72" s="10"/>
      <c r="BO72" s="10"/>
      <c r="BP72" s="10"/>
      <c r="BQ72" s="10"/>
      <c r="BR72" s="10"/>
      <c r="BS72" s="10"/>
      <c r="BT72" s="10"/>
      <c r="BU72" s="10"/>
      <c r="BV72" s="10"/>
      <c r="BW72" s="10"/>
      <c r="BX72" s="10"/>
      <c r="BY72" s="10"/>
      <c r="BZ72" s="10"/>
      <c r="CA72" s="10"/>
      <c r="CB72" s="10"/>
      <c r="CC72" s="10"/>
      <c r="CD72" s="10"/>
      <c r="CE72" s="10"/>
      <c r="CF72" s="10"/>
      <c r="CG72" s="10"/>
      <c r="CH72" s="10"/>
      <c r="CI72" s="10"/>
      <c r="CJ72" s="10"/>
      <c r="CK72" s="10"/>
      <c r="CL72" s="10"/>
      <c r="CM72" s="10"/>
      <c r="CN72" s="10"/>
      <c r="CO72" s="10"/>
      <c r="CP72" s="10"/>
      <c r="CQ72" s="10"/>
      <c r="CR72" s="10"/>
      <c r="CS72" s="10"/>
      <c r="CT72" s="10"/>
      <c r="CU72" s="10"/>
      <c r="CV72" s="10"/>
      <c r="CW72" s="10"/>
      <c r="CX72" s="10"/>
      <c r="CY72" s="10"/>
      <c r="CZ72" s="10"/>
      <c r="DA72" s="10"/>
      <c r="DB72" s="10"/>
      <c r="DC72" s="10"/>
      <c r="DD72" s="10"/>
      <c r="DE72" s="10"/>
      <c r="DF72" s="10"/>
      <c r="DG72" s="10"/>
      <c r="DH72" s="10"/>
      <c r="DI72" s="10"/>
      <c r="DJ72" s="10"/>
    </row>
    <row r="73" spans="1:114" s="2" customFormat="1" ht="15" customHeight="1" x14ac:dyDescent="0.2">
      <c r="A73" s="652"/>
      <c r="B73" s="656"/>
      <c r="C73" s="657"/>
      <c r="D73" s="203" t="s">
        <v>4</v>
      </c>
      <c r="E73" s="204">
        <v>1</v>
      </c>
      <c r="F73" s="204" t="s">
        <v>5</v>
      </c>
      <c r="G73" s="204"/>
      <c r="H73" s="204" t="s">
        <v>6</v>
      </c>
      <c r="I73" s="204" t="s">
        <v>10</v>
      </c>
      <c r="J73" s="204">
        <v>45429</v>
      </c>
      <c r="K73" s="204" t="s">
        <v>64</v>
      </c>
      <c r="L73" s="204">
        <v>123456</v>
      </c>
      <c r="M73" s="204">
        <v>2</v>
      </c>
      <c r="N73" s="204">
        <v>1</v>
      </c>
      <c r="O73" s="204">
        <v>1</v>
      </c>
      <c r="P73" s="34">
        <v>5.2</v>
      </c>
      <c r="Q73" s="41">
        <v>28200003577</v>
      </c>
      <c r="R73" s="204" t="s">
        <v>74</v>
      </c>
      <c r="S73" s="204" t="s">
        <v>7</v>
      </c>
      <c r="T73" s="32" t="s">
        <v>13</v>
      </c>
      <c r="U73" s="204"/>
      <c r="V73" s="204"/>
      <c r="W73" s="33"/>
      <c r="X73" s="204"/>
      <c r="Y73" s="33"/>
      <c r="Z73" s="35"/>
      <c r="AA73" s="204"/>
      <c r="AB73" s="34">
        <v>0.5</v>
      </c>
      <c r="AC73" s="202"/>
      <c r="AD73" s="202"/>
      <c r="AE73" s="35"/>
      <c r="AF73" s="202"/>
      <c r="AG73" s="59" t="s">
        <v>129</v>
      </c>
      <c r="AH73" s="207">
        <v>0.25</v>
      </c>
      <c r="AI73" s="202"/>
      <c r="AJ73" s="32">
        <v>123456789</v>
      </c>
      <c r="AK73" s="188" t="s">
        <v>80</v>
      </c>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c r="BK73" s="10"/>
      <c r="BL73" s="10"/>
      <c r="BM73" s="10"/>
      <c r="BN73" s="10"/>
      <c r="BO73" s="10"/>
      <c r="BP73" s="10"/>
      <c r="BQ73" s="10"/>
      <c r="BR73" s="10"/>
      <c r="BS73" s="10"/>
      <c r="BT73" s="10"/>
      <c r="BU73" s="10"/>
      <c r="BV73" s="10"/>
      <c r="BW73" s="10"/>
      <c r="BX73" s="10"/>
      <c r="BY73" s="10"/>
      <c r="BZ73" s="10"/>
      <c r="CA73" s="10"/>
      <c r="CB73" s="10"/>
      <c r="CC73" s="10"/>
      <c r="CD73" s="10"/>
      <c r="CE73" s="10"/>
      <c r="CF73" s="10"/>
      <c r="CG73" s="10"/>
      <c r="CH73" s="10"/>
      <c r="CI73" s="10"/>
      <c r="CJ73" s="10"/>
      <c r="CK73" s="10"/>
      <c r="CL73" s="10"/>
      <c r="CM73" s="10"/>
      <c r="CN73" s="10"/>
      <c r="CO73" s="10"/>
      <c r="CP73" s="10"/>
      <c r="CQ73" s="10"/>
      <c r="CR73" s="10"/>
      <c r="CS73" s="10"/>
      <c r="CT73" s="10"/>
      <c r="CU73" s="10"/>
      <c r="CV73" s="10"/>
      <c r="CW73" s="10"/>
      <c r="CX73" s="10"/>
      <c r="CY73" s="10"/>
      <c r="CZ73" s="10"/>
      <c r="DA73" s="10"/>
      <c r="DB73" s="10"/>
      <c r="DC73" s="10"/>
      <c r="DD73" s="10"/>
      <c r="DE73" s="10"/>
      <c r="DF73" s="10"/>
      <c r="DG73" s="10"/>
      <c r="DH73" s="10"/>
      <c r="DI73" s="10"/>
      <c r="DJ73" s="10"/>
    </row>
    <row r="74" spans="1:114" s="2" customFormat="1" ht="15" customHeight="1" x14ac:dyDescent="0.2">
      <c r="A74" s="652"/>
      <c r="B74" s="656"/>
      <c r="C74" s="657"/>
      <c r="D74" s="203" t="s">
        <v>4</v>
      </c>
      <c r="E74" s="204">
        <v>1</v>
      </c>
      <c r="F74" s="204" t="s">
        <v>5</v>
      </c>
      <c r="G74" s="204"/>
      <c r="H74" s="204" t="s">
        <v>6</v>
      </c>
      <c r="I74" s="204" t="s">
        <v>10</v>
      </c>
      <c r="J74" s="204">
        <v>45429</v>
      </c>
      <c r="K74" s="204" t="s">
        <v>82</v>
      </c>
      <c r="L74" s="204">
        <v>123456</v>
      </c>
      <c r="M74" s="204">
        <v>3</v>
      </c>
      <c r="N74" s="204">
        <v>1</v>
      </c>
      <c r="O74" s="204">
        <v>1</v>
      </c>
      <c r="P74" s="34">
        <v>5.2</v>
      </c>
      <c r="Q74" s="41">
        <v>28200003577</v>
      </c>
      <c r="R74" s="204" t="s">
        <v>74</v>
      </c>
      <c r="S74" s="204" t="s">
        <v>7</v>
      </c>
      <c r="T74" s="32" t="s">
        <v>13</v>
      </c>
      <c r="U74" s="204"/>
      <c r="V74" s="204"/>
      <c r="W74" s="33"/>
      <c r="X74" s="204"/>
      <c r="Y74" s="33"/>
      <c r="Z74" s="35"/>
      <c r="AA74" s="204"/>
      <c r="AB74" s="34">
        <v>0.5</v>
      </c>
      <c r="AC74" s="202"/>
      <c r="AD74" s="202"/>
      <c r="AE74" s="35"/>
      <c r="AF74" s="202"/>
      <c r="AG74" s="59" t="s">
        <v>129</v>
      </c>
      <c r="AH74" s="207">
        <v>0.25</v>
      </c>
      <c r="AI74" s="202"/>
      <c r="AJ74" s="32">
        <v>123456789</v>
      </c>
      <c r="AK74" s="188" t="s">
        <v>80</v>
      </c>
      <c r="AL74" s="10"/>
      <c r="AM74" s="10"/>
      <c r="AN74" s="10"/>
      <c r="AO74" s="10"/>
      <c r="AP74" s="10"/>
      <c r="AQ74" s="10"/>
      <c r="AR74" s="10"/>
      <c r="AS74" s="10"/>
      <c r="AT74" s="10"/>
      <c r="AU74" s="10"/>
      <c r="AV74" s="10"/>
      <c r="AW74" s="10"/>
      <c r="AX74" s="10"/>
      <c r="AY74" s="10"/>
      <c r="AZ74" s="10"/>
      <c r="BA74" s="10"/>
      <c r="BB74" s="10"/>
      <c r="BC74" s="10"/>
      <c r="BD74" s="10"/>
      <c r="BE74" s="10"/>
      <c r="BF74" s="10"/>
      <c r="BG74" s="10"/>
      <c r="BH74" s="10"/>
      <c r="BI74" s="10"/>
      <c r="BJ74" s="10"/>
      <c r="BK74" s="10"/>
      <c r="BL74" s="10"/>
      <c r="BM74" s="10"/>
      <c r="BN74" s="10"/>
      <c r="BO74" s="10"/>
      <c r="BP74" s="10"/>
      <c r="BQ74" s="10"/>
      <c r="BR74" s="10"/>
      <c r="BS74" s="10"/>
      <c r="BT74" s="10"/>
      <c r="BU74" s="10"/>
      <c r="BV74" s="10"/>
      <c r="BW74" s="10"/>
      <c r="BX74" s="10"/>
      <c r="BY74" s="10"/>
      <c r="BZ74" s="10"/>
      <c r="CA74" s="10"/>
      <c r="CB74" s="10"/>
      <c r="CC74" s="10"/>
      <c r="CD74" s="10"/>
      <c r="CE74" s="10"/>
      <c r="CF74" s="10"/>
      <c r="CG74" s="10"/>
      <c r="CH74" s="10"/>
      <c r="CI74" s="10"/>
      <c r="CJ74" s="10"/>
      <c r="CK74" s="10"/>
      <c r="CL74" s="10"/>
      <c r="CM74" s="10"/>
      <c r="CN74" s="10"/>
      <c r="CO74" s="10"/>
      <c r="CP74" s="10"/>
      <c r="CQ74" s="10"/>
      <c r="CR74" s="10"/>
      <c r="CS74" s="10"/>
      <c r="CT74" s="10"/>
      <c r="CU74" s="10"/>
      <c r="CV74" s="10"/>
      <c r="CW74" s="10"/>
      <c r="CX74" s="10"/>
      <c r="CY74" s="10"/>
      <c r="CZ74" s="10"/>
      <c r="DA74" s="10"/>
      <c r="DB74" s="10"/>
      <c r="DC74" s="10"/>
      <c r="DD74" s="10"/>
      <c r="DE74" s="10"/>
      <c r="DF74" s="10"/>
      <c r="DG74" s="10"/>
      <c r="DH74" s="10"/>
      <c r="DI74" s="10"/>
      <c r="DJ74" s="10"/>
    </row>
    <row r="75" spans="1:114" s="2" customFormat="1" ht="15" customHeight="1" x14ac:dyDescent="0.2">
      <c r="A75" s="652"/>
      <c r="B75" s="656"/>
      <c r="C75" s="657"/>
      <c r="D75" s="203"/>
      <c r="E75" s="204"/>
      <c r="F75" s="204"/>
      <c r="G75" s="204"/>
      <c r="H75" s="204"/>
      <c r="I75" s="204"/>
      <c r="J75" s="204"/>
      <c r="K75" s="204"/>
      <c r="L75" s="204"/>
      <c r="M75" s="204"/>
      <c r="N75" s="204"/>
      <c r="O75" s="204"/>
      <c r="P75" s="33"/>
      <c r="Q75" s="204"/>
      <c r="R75" s="204"/>
      <c r="S75" s="204"/>
      <c r="T75" s="204"/>
      <c r="U75" s="204"/>
      <c r="V75" s="204"/>
      <c r="W75" s="204"/>
      <c r="X75" s="204"/>
      <c r="Y75" s="204"/>
      <c r="Z75" s="204"/>
      <c r="AA75" s="204"/>
      <c r="AB75" s="33"/>
      <c r="AC75" s="204"/>
      <c r="AD75" s="204"/>
      <c r="AE75" s="204"/>
      <c r="AF75" s="204"/>
      <c r="AG75" s="204"/>
      <c r="AH75" s="204"/>
      <c r="AI75" s="204"/>
      <c r="AJ75" s="204"/>
      <c r="AK75" s="205"/>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10"/>
      <c r="BK75" s="10"/>
      <c r="BL75" s="10"/>
      <c r="BM75" s="10"/>
      <c r="BN75" s="10"/>
      <c r="BO75" s="10"/>
      <c r="BP75" s="10"/>
      <c r="BQ75" s="10"/>
      <c r="BR75" s="10"/>
      <c r="BS75" s="10"/>
      <c r="BT75" s="10"/>
      <c r="BU75" s="10"/>
      <c r="BV75" s="10"/>
      <c r="BW75" s="10"/>
      <c r="BX75" s="10"/>
      <c r="BY75" s="10"/>
      <c r="BZ75" s="10"/>
      <c r="CA75" s="10"/>
      <c r="CB75" s="10"/>
      <c r="CC75" s="10"/>
      <c r="CD75" s="10"/>
      <c r="CE75" s="10"/>
      <c r="CF75" s="10"/>
      <c r="CG75" s="10"/>
      <c r="CH75" s="10"/>
      <c r="CI75" s="10"/>
      <c r="CJ75" s="10"/>
      <c r="CK75" s="10"/>
      <c r="CL75" s="10"/>
      <c r="CM75" s="10"/>
      <c r="CN75" s="10"/>
      <c r="CO75" s="10"/>
      <c r="CP75" s="10"/>
      <c r="CQ75" s="10"/>
      <c r="CR75" s="10"/>
      <c r="CS75" s="10"/>
      <c r="CT75" s="10"/>
      <c r="CU75" s="10"/>
      <c r="CV75" s="10"/>
      <c r="CW75" s="10"/>
      <c r="CX75" s="10"/>
      <c r="CY75" s="10"/>
      <c r="CZ75" s="10"/>
      <c r="DA75" s="10"/>
      <c r="DB75" s="10"/>
      <c r="DC75" s="10"/>
      <c r="DD75" s="10"/>
      <c r="DE75" s="10"/>
      <c r="DF75" s="10"/>
      <c r="DG75" s="10"/>
      <c r="DH75" s="10"/>
      <c r="DI75" s="10"/>
      <c r="DJ75" s="10"/>
    </row>
    <row r="76" spans="1:114" s="198" customFormat="1" ht="15.75" customHeight="1" thickBot="1" x14ac:dyDescent="0.25">
      <c r="A76" s="561"/>
      <c r="B76" s="658"/>
      <c r="C76" s="659"/>
      <c r="D76" s="191" t="s">
        <v>4</v>
      </c>
      <c r="E76" s="131">
        <v>1</v>
      </c>
      <c r="F76" s="131" t="s">
        <v>5</v>
      </c>
      <c r="G76" s="131"/>
      <c r="H76" s="131" t="s">
        <v>6</v>
      </c>
      <c r="I76" s="131" t="s">
        <v>10</v>
      </c>
      <c r="J76" s="131">
        <v>45429</v>
      </c>
      <c r="K76" s="131" t="s">
        <v>63</v>
      </c>
      <c r="L76" s="131">
        <v>123456</v>
      </c>
      <c r="M76" s="131">
        <v>1</v>
      </c>
      <c r="N76" s="131">
        <v>1</v>
      </c>
      <c r="O76" s="131">
        <v>3</v>
      </c>
      <c r="P76" s="132">
        <v>5.2</v>
      </c>
      <c r="Q76" s="133">
        <v>28200003577</v>
      </c>
      <c r="R76" s="131" t="s">
        <v>74</v>
      </c>
      <c r="S76" s="131" t="s">
        <v>7</v>
      </c>
      <c r="T76" s="137" t="s">
        <v>13</v>
      </c>
      <c r="U76" s="131"/>
      <c r="V76" s="131"/>
      <c r="W76" s="135"/>
      <c r="X76" s="131"/>
      <c r="Y76" s="135"/>
      <c r="Z76" s="136"/>
      <c r="AA76" s="131"/>
      <c r="AB76" s="132">
        <v>0.5</v>
      </c>
      <c r="AC76" s="134"/>
      <c r="AD76" s="134"/>
      <c r="AE76" s="136"/>
      <c r="AF76" s="134"/>
      <c r="AG76" s="83" t="s">
        <v>129</v>
      </c>
      <c r="AH76" s="208">
        <v>0.25</v>
      </c>
      <c r="AI76" s="134"/>
      <c r="AJ76" s="137">
        <v>123456789</v>
      </c>
      <c r="AK76" s="189" t="s">
        <v>80</v>
      </c>
    </row>
  </sheetData>
  <mergeCells count="59">
    <mergeCell ref="A56:AK56"/>
    <mergeCell ref="A57:A58"/>
    <mergeCell ref="B57:B58"/>
    <mergeCell ref="C57:C58"/>
    <mergeCell ref="A59:AK59"/>
    <mergeCell ref="A70:A76"/>
    <mergeCell ref="A69:AK69"/>
    <mergeCell ref="B63:C68"/>
    <mergeCell ref="B70:C76"/>
    <mergeCell ref="A62:AK62"/>
    <mergeCell ref="A63:A68"/>
    <mergeCell ref="A60:A61"/>
    <mergeCell ref="B60:B61"/>
    <mergeCell ref="C60:C61"/>
    <mergeCell ref="A27:AK27"/>
    <mergeCell ref="A51:A52"/>
    <mergeCell ref="B51:B52"/>
    <mergeCell ref="A39:A40"/>
    <mergeCell ref="B39:B40"/>
    <mergeCell ref="A43:AK43"/>
    <mergeCell ref="A45:AK45"/>
    <mergeCell ref="A46:A47"/>
    <mergeCell ref="B46:B47"/>
    <mergeCell ref="C46:C47"/>
    <mergeCell ref="C34:C35"/>
    <mergeCell ref="A28:A29"/>
    <mergeCell ref="C28:C29"/>
    <mergeCell ref="A54:A55"/>
    <mergeCell ref="B54:B55"/>
    <mergeCell ref="C54:C55"/>
    <mergeCell ref="A20:AK20"/>
    <mergeCell ref="A8:F9"/>
    <mergeCell ref="A13:C13"/>
    <mergeCell ref="P8:P12"/>
    <mergeCell ref="A53:AK53"/>
    <mergeCell ref="A24:AK24"/>
    <mergeCell ref="A25:A26"/>
    <mergeCell ref="B25:B26"/>
    <mergeCell ref="B28:B29"/>
    <mergeCell ref="C51:C52"/>
    <mergeCell ref="A32:AE32"/>
    <mergeCell ref="A34:A35"/>
    <mergeCell ref="B34:B35"/>
    <mergeCell ref="N2:U2"/>
    <mergeCell ref="C25:C26"/>
    <mergeCell ref="N1:U1"/>
    <mergeCell ref="A11:L11"/>
    <mergeCell ref="A22:AK22"/>
    <mergeCell ref="A1:L1"/>
    <mergeCell ref="A2:L2"/>
    <mergeCell ref="A3:L3"/>
    <mergeCell ref="A4:L4"/>
    <mergeCell ref="A6:F7"/>
    <mergeCell ref="AK2:AK12"/>
    <mergeCell ref="AJ2:AJ12"/>
    <mergeCell ref="A14:C14"/>
    <mergeCell ref="B15:C15"/>
    <mergeCell ref="B16:C16"/>
    <mergeCell ref="B17:C17"/>
  </mergeCells>
  <pageMargins left="0.25" right="0.25" top="0.75" bottom="0.75" header="0.3" footer="0.3"/>
  <pageSetup paperSize="17" scale="58"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E0FEC-893E-4A37-AD89-D4A27D40EE10}">
  <sheetPr>
    <tabColor theme="4" tint="0.59999389629810485"/>
    <pageSetUpPr fitToPage="1"/>
  </sheetPr>
  <dimension ref="A1:DJ123"/>
  <sheetViews>
    <sheetView showGridLines="0" zoomScale="80" zoomScaleNormal="80" workbookViewId="0">
      <selection activeCell="A13" sqref="A13:C13"/>
    </sheetView>
  </sheetViews>
  <sheetFormatPr defaultColWidth="9.28515625" defaultRowHeight="18.75" x14ac:dyDescent="0.3"/>
  <cols>
    <col min="1" max="1" width="13.85546875" style="276" customWidth="1"/>
    <col min="2" max="2" width="27.28515625" style="277" customWidth="1"/>
    <col min="3" max="3" width="43.42578125" style="277" customWidth="1"/>
    <col min="4" max="4" width="9.5703125" style="217" bestFit="1" customWidth="1"/>
    <col min="5" max="5" width="3.28515625" style="217" bestFit="1" customWidth="1"/>
    <col min="6" max="6" width="16.85546875" style="217" customWidth="1"/>
    <col min="7" max="7" width="4" style="217" bestFit="1" customWidth="1"/>
    <col min="8" max="8" width="12.28515625" style="217" bestFit="1" customWidth="1"/>
    <col min="9" max="9" width="4" style="217" bestFit="1" customWidth="1"/>
    <col min="10" max="10" width="6.7109375" style="217" bestFit="1" customWidth="1"/>
    <col min="11" max="11" width="20.5703125" style="217" bestFit="1" customWidth="1"/>
    <col min="12" max="12" width="11.28515625" style="217" bestFit="1" customWidth="1"/>
    <col min="13" max="15" width="3.85546875" style="217" bestFit="1" customWidth="1"/>
    <col min="16" max="16" width="6.140625" style="278" bestFit="1" customWidth="1"/>
    <col min="17" max="17" width="17.28515625" style="279" bestFit="1" customWidth="1"/>
    <col min="18" max="18" width="32.42578125" style="217" bestFit="1" customWidth="1"/>
    <col min="19" max="19" width="5.5703125" style="217" bestFit="1" customWidth="1"/>
    <col min="20" max="21" width="3.85546875" style="217" bestFit="1" customWidth="1"/>
    <col min="22" max="22" width="5.7109375" style="217" bestFit="1" customWidth="1"/>
    <col min="23" max="23" width="5.7109375" style="278" bestFit="1" customWidth="1"/>
    <col min="24" max="24" width="3.85546875" style="217" bestFit="1" customWidth="1"/>
    <col min="25" max="25" width="3.85546875" style="278" bestFit="1" customWidth="1"/>
    <col min="26" max="26" width="4.42578125" style="278" bestFit="1" customWidth="1"/>
    <col min="27" max="27" width="13.140625" style="217" bestFit="1" customWidth="1"/>
    <col min="28" max="28" width="4.42578125" style="278" bestFit="1" customWidth="1"/>
    <col min="29" max="29" width="3.85546875" style="217" bestFit="1" customWidth="1"/>
    <col min="30" max="30" width="5.7109375" style="217" bestFit="1" customWidth="1"/>
    <col min="31" max="31" width="5.7109375" style="278" bestFit="1" customWidth="1"/>
    <col min="32" max="32" width="6.7109375" style="217" bestFit="1" customWidth="1"/>
    <col min="33" max="33" width="16" style="217" bestFit="1" customWidth="1"/>
    <col min="34" max="34" width="6" style="278" customWidth="1"/>
    <col min="35" max="35" width="10.28515625" style="217" bestFit="1" customWidth="1"/>
    <col min="36" max="36" width="16.7109375" style="217" customWidth="1"/>
    <col min="37" max="37" width="15" style="217" bestFit="1" customWidth="1"/>
    <col min="38" max="16384" width="9.28515625" style="218"/>
  </cols>
  <sheetData>
    <row r="1" spans="1:37" ht="36.75" customHeight="1" thickBot="1" x14ac:dyDescent="0.3">
      <c r="A1" s="662" t="s">
        <v>329</v>
      </c>
      <c r="B1" s="662"/>
      <c r="C1" s="662"/>
      <c r="D1" s="662"/>
      <c r="E1" s="662"/>
      <c r="F1" s="662"/>
      <c r="G1" s="662"/>
      <c r="H1" s="662"/>
      <c r="I1" s="662"/>
      <c r="J1" s="662"/>
      <c r="K1" s="662"/>
      <c r="L1" s="662"/>
      <c r="M1" s="662"/>
      <c r="N1" s="662"/>
      <c r="O1" s="662"/>
      <c r="P1" s="662"/>
      <c r="Q1" s="215"/>
      <c r="R1" s="698" t="s">
        <v>83</v>
      </c>
      <c r="S1" s="699"/>
      <c r="T1" s="699"/>
      <c r="U1" s="699"/>
      <c r="V1" s="699"/>
      <c r="W1" s="699"/>
      <c r="X1" s="699"/>
      <c r="Y1" s="699"/>
      <c r="Z1" s="699"/>
      <c r="AA1" s="700"/>
      <c r="AB1" s="215"/>
      <c r="AC1" s="215"/>
      <c r="AD1" s="215"/>
      <c r="AE1" s="215"/>
      <c r="AF1" s="215"/>
      <c r="AG1" s="215"/>
      <c r="AH1" s="215"/>
      <c r="AI1" s="216"/>
    </row>
    <row r="2" spans="1:37" s="220" customFormat="1" ht="38.25" customHeight="1" thickBot="1" x14ac:dyDescent="0.3">
      <c r="A2" s="663" t="s">
        <v>151</v>
      </c>
      <c r="B2" s="663"/>
      <c r="C2" s="663"/>
      <c r="D2" s="663"/>
      <c r="E2" s="663"/>
      <c r="F2" s="663"/>
      <c r="G2" s="663"/>
      <c r="H2" s="663"/>
      <c r="I2" s="663"/>
      <c r="J2" s="663"/>
      <c r="K2" s="663"/>
      <c r="L2" s="663"/>
      <c r="M2" s="663"/>
      <c r="N2" s="663"/>
      <c r="O2" s="663"/>
      <c r="P2" s="663"/>
      <c r="Q2" s="215"/>
      <c r="R2" s="701" t="s">
        <v>58</v>
      </c>
      <c r="S2" s="702"/>
      <c r="T2" s="702"/>
      <c r="U2" s="702"/>
      <c r="V2" s="702"/>
      <c r="W2" s="702"/>
      <c r="X2" s="702"/>
      <c r="Y2" s="702"/>
      <c r="Z2" s="702"/>
      <c r="AA2" s="703"/>
      <c r="AB2" s="215"/>
      <c r="AC2" s="215"/>
      <c r="AD2" s="215"/>
      <c r="AE2" s="215"/>
      <c r="AF2" s="215"/>
      <c r="AG2" s="215"/>
      <c r="AH2" s="215"/>
      <c r="AI2" s="215"/>
      <c r="AJ2" s="664" t="s">
        <v>198</v>
      </c>
      <c r="AK2" s="623" t="s">
        <v>271</v>
      </c>
    </row>
    <row r="3" spans="1:37" s="220" customFormat="1" ht="26.25" customHeight="1" x14ac:dyDescent="0.25">
      <c r="A3" s="663" t="s">
        <v>152</v>
      </c>
      <c r="B3" s="663"/>
      <c r="C3" s="663"/>
      <c r="D3" s="663"/>
      <c r="E3" s="663"/>
      <c r="F3" s="663"/>
      <c r="G3" s="663"/>
      <c r="H3" s="663"/>
      <c r="I3" s="663"/>
      <c r="J3" s="663"/>
      <c r="K3" s="663"/>
      <c r="L3" s="663"/>
      <c r="M3" s="663"/>
      <c r="N3" s="663"/>
      <c r="O3" s="663"/>
      <c r="P3" s="663"/>
      <c r="Q3" s="215"/>
      <c r="R3" s="215"/>
      <c r="S3" s="215"/>
      <c r="T3" s="215"/>
      <c r="U3" s="215"/>
      <c r="V3" s="215"/>
      <c r="W3" s="215"/>
      <c r="X3" s="215"/>
      <c r="Y3" s="215"/>
      <c r="Z3" s="215"/>
      <c r="AA3" s="215"/>
      <c r="AB3" s="215"/>
      <c r="AC3" s="215"/>
      <c r="AD3" s="215"/>
      <c r="AE3" s="215"/>
      <c r="AF3" s="215"/>
      <c r="AG3" s="215"/>
      <c r="AH3" s="215"/>
      <c r="AI3" s="215"/>
      <c r="AJ3" s="664"/>
      <c r="AK3" s="623"/>
    </row>
    <row r="4" spans="1:37" s="220" customFormat="1" ht="26.25" customHeight="1" x14ac:dyDescent="0.25">
      <c r="A4" s="663" t="s">
        <v>153</v>
      </c>
      <c r="B4" s="663"/>
      <c r="C4" s="663"/>
      <c r="D4" s="663"/>
      <c r="E4" s="663"/>
      <c r="F4" s="663"/>
      <c r="G4" s="663"/>
      <c r="H4" s="663"/>
      <c r="I4" s="663"/>
      <c r="J4" s="663"/>
      <c r="K4" s="663"/>
      <c r="L4" s="663"/>
      <c r="M4" s="663"/>
      <c r="N4" s="663"/>
      <c r="O4" s="663"/>
      <c r="P4" s="663"/>
      <c r="Q4" s="221"/>
      <c r="R4" s="216"/>
      <c r="S4" s="216"/>
      <c r="T4" s="216"/>
      <c r="U4" s="216"/>
      <c r="V4" s="216"/>
      <c r="W4" s="222"/>
      <c r="X4" s="216"/>
      <c r="Y4" s="222"/>
      <c r="Z4" s="222"/>
      <c r="AA4" s="216"/>
      <c r="AB4" s="222"/>
      <c r="AC4" s="216"/>
      <c r="AD4" s="216"/>
      <c r="AE4" s="222"/>
      <c r="AF4" s="216"/>
      <c r="AG4" s="216"/>
      <c r="AH4" s="222"/>
      <c r="AI4" s="215"/>
      <c r="AJ4" s="664"/>
      <c r="AK4" s="623"/>
    </row>
    <row r="5" spans="1:37" s="220" customFormat="1" ht="15.75" customHeight="1" x14ac:dyDescent="0.25">
      <c r="A5" s="223"/>
      <c r="B5" s="224"/>
      <c r="C5" s="224"/>
      <c r="D5" s="225"/>
      <c r="E5" s="225"/>
      <c r="F5" s="225"/>
      <c r="G5" s="225"/>
      <c r="H5" s="225"/>
      <c r="I5" s="225"/>
      <c r="J5" s="225"/>
      <c r="K5" s="226"/>
      <c r="L5" s="227"/>
      <c r="M5" s="227"/>
      <c r="N5" s="227"/>
      <c r="O5" s="227"/>
      <c r="P5" s="228"/>
      <c r="Q5" s="221"/>
      <c r="R5" s="216"/>
      <c r="S5" s="216"/>
      <c r="T5" s="216"/>
      <c r="U5" s="216"/>
      <c r="V5" s="216"/>
      <c r="W5" s="222"/>
      <c r="X5" s="216"/>
      <c r="Y5" s="222"/>
      <c r="Z5" s="222"/>
      <c r="AA5" s="216"/>
      <c r="AB5" s="222"/>
      <c r="AC5" s="216"/>
      <c r="AD5" s="216"/>
      <c r="AE5" s="222"/>
      <c r="AF5" s="216"/>
      <c r="AG5" s="216"/>
      <c r="AH5" s="222"/>
      <c r="AI5" s="215"/>
      <c r="AJ5" s="664"/>
      <c r="AK5" s="623"/>
    </row>
    <row r="6" spans="1:37" s="220" customFormat="1" ht="15.75" customHeight="1" x14ac:dyDescent="0.25">
      <c r="A6" s="622" t="s">
        <v>330</v>
      </c>
      <c r="B6" s="622"/>
      <c r="C6" s="622"/>
      <c r="D6" s="622"/>
      <c r="E6" s="622"/>
      <c r="F6" s="622"/>
      <c r="G6" s="225"/>
      <c r="H6" s="225"/>
      <c r="I6" s="225"/>
      <c r="J6" s="225"/>
      <c r="K6" s="226"/>
      <c r="L6" s="227"/>
      <c r="M6" s="227"/>
      <c r="N6" s="227"/>
      <c r="O6" s="227"/>
      <c r="P6" s="228"/>
      <c r="Q6" s="221"/>
      <c r="R6" s="216"/>
      <c r="S6" s="216"/>
      <c r="T6" s="216"/>
      <c r="U6" s="216"/>
      <c r="V6" s="216"/>
      <c r="W6" s="222"/>
      <c r="X6" s="216"/>
      <c r="Y6" s="222"/>
      <c r="Z6" s="222"/>
      <c r="AA6" s="216"/>
      <c r="AB6" s="222"/>
      <c r="AC6" s="216"/>
      <c r="AD6" s="216"/>
      <c r="AE6" s="222"/>
      <c r="AF6" s="216"/>
      <c r="AG6" s="216"/>
      <c r="AH6" s="222"/>
      <c r="AI6" s="215"/>
      <c r="AJ6" s="664"/>
      <c r="AK6" s="623"/>
    </row>
    <row r="7" spans="1:37" s="220" customFormat="1" ht="15.75" customHeight="1" x14ac:dyDescent="0.25">
      <c r="A7" s="622"/>
      <c r="B7" s="622"/>
      <c r="C7" s="622"/>
      <c r="D7" s="622"/>
      <c r="E7" s="622"/>
      <c r="F7" s="622"/>
      <c r="G7" s="225"/>
      <c r="H7" s="225"/>
      <c r="I7" s="225"/>
      <c r="J7" s="225"/>
      <c r="K7" s="226"/>
      <c r="L7" s="227"/>
      <c r="M7" s="227"/>
      <c r="N7" s="227"/>
      <c r="O7" s="227"/>
      <c r="P7" s="228"/>
      <c r="Q7" s="221"/>
      <c r="R7" s="216"/>
      <c r="S7" s="216"/>
      <c r="T7" s="216"/>
      <c r="U7" s="216"/>
      <c r="V7" s="216"/>
      <c r="W7" s="222"/>
      <c r="X7" s="216"/>
      <c r="Y7" s="222"/>
      <c r="Z7" s="222"/>
      <c r="AA7" s="216"/>
      <c r="AB7" s="222"/>
      <c r="AC7" s="216"/>
      <c r="AD7" s="216"/>
      <c r="AE7" s="222"/>
      <c r="AF7" s="216"/>
      <c r="AG7" s="216"/>
      <c r="AH7" s="222"/>
      <c r="AI7" s="215"/>
      <c r="AJ7" s="664"/>
      <c r="AK7" s="623"/>
    </row>
    <row r="8" spans="1:37" s="220" customFormat="1" ht="15.75" customHeight="1" x14ac:dyDescent="0.25">
      <c r="A8" s="622" t="s">
        <v>154</v>
      </c>
      <c r="B8" s="622"/>
      <c r="C8" s="622"/>
      <c r="D8" s="622"/>
      <c r="E8" s="622"/>
      <c r="F8" s="622"/>
      <c r="P8" s="640"/>
      <c r="AJ8" s="664"/>
      <c r="AK8" s="623"/>
    </row>
    <row r="9" spans="1:37" s="220" customFormat="1" ht="15.75" customHeight="1" x14ac:dyDescent="0.25">
      <c r="A9" s="622"/>
      <c r="B9" s="622"/>
      <c r="C9" s="622"/>
      <c r="D9" s="622"/>
      <c r="E9" s="622"/>
      <c r="F9" s="622"/>
      <c r="P9" s="640"/>
      <c r="AJ9" s="664"/>
      <c r="AK9" s="623"/>
    </row>
    <row r="10" spans="1:37" s="220" customFormat="1" ht="15.75" customHeight="1" x14ac:dyDescent="0.25">
      <c r="A10" s="367"/>
      <c r="B10" s="367"/>
      <c r="C10" s="367"/>
      <c r="D10" s="367"/>
      <c r="E10" s="367"/>
      <c r="F10" s="368"/>
      <c r="P10" s="640"/>
      <c r="AJ10" s="664"/>
      <c r="AK10" s="623"/>
    </row>
    <row r="11" spans="1:37" s="220" customFormat="1" ht="61.5" customHeight="1" x14ac:dyDescent="0.3">
      <c r="A11" s="617" t="s">
        <v>166</v>
      </c>
      <c r="B11" s="617"/>
      <c r="C11" s="617"/>
      <c r="D11" s="617"/>
      <c r="E11" s="617"/>
      <c r="F11" s="617"/>
      <c r="G11" s="617"/>
      <c r="H11" s="617"/>
      <c r="I11" s="617"/>
      <c r="J11" s="617"/>
      <c r="K11" s="617"/>
      <c r="L11" s="617"/>
      <c r="P11" s="640"/>
      <c r="AJ11" s="664"/>
      <c r="AK11" s="623"/>
    </row>
    <row r="12" spans="1:37" s="220" customFormat="1" ht="15.75" customHeight="1" x14ac:dyDescent="0.25">
      <c r="A12" s="313"/>
      <c r="B12" s="313"/>
      <c r="C12" s="313"/>
      <c r="D12" s="313"/>
      <c r="E12" s="313"/>
      <c r="P12" s="665"/>
      <c r="AJ12" s="664"/>
      <c r="AK12" s="624"/>
    </row>
    <row r="13" spans="1:37" s="213" customFormat="1" ht="16.5" thickBot="1" x14ac:dyDescent="0.3">
      <c r="A13" s="637" t="s">
        <v>331</v>
      </c>
      <c r="B13" s="638"/>
      <c r="C13" s="639"/>
      <c r="D13" s="231">
        <v>1</v>
      </c>
      <c r="E13" s="231">
        <v>2</v>
      </c>
      <c r="F13" s="231">
        <v>3</v>
      </c>
      <c r="G13" s="231">
        <v>4</v>
      </c>
      <c r="H13" s="231">
        <v>5</v>
      </c>
      <c r="I13" s="231">
        <v>6</v>
      </c>
      <c r="J13" s="231">
        <v>7</v>
      </c>
      <c r="K13" s="231">
        <v>8</v>
      </c>
      <c r="L13" s="231">
        <v>9</v>
      </c>
      <c r="M13" s="231">
        <v>10</v>
      </c>
      <c r="N13" s="231">
        <v>11</v>
      </c>
      <c r="O13" s="232">
        <v>12</v>
      </c>
      <c r="P13" s="231">
        <v>13</v>
      </c>
      <c r="Q13" s="233">
        <v>14</v>
      </c>
      <c r="R13" s="231">
        <v>15</v>
      </c>
      <c r="S13" s="231">
        <v>16</v>
      </c>
      <c r="T13" s="231">
        <v>17</v>
      </c>
      <c r="U13" s="231">
        <v>18</v>
      </c>
      <c r="V13" s="231">
        <v>19</v>
      </c>
      <c r="W13" s="231">
        <v>20</v>
      </c>
      <c r="X13" s="231">
        <v>21</v>
      </c>
      <c r="Y13" s="231">
        <v>22</v>
      </c>
      <c r="Z13" s="231">
        <v>23</v>
      </c>
      <c r="AA13" s="231">
        <v>24</v>
      </c>
      <c r="AB13" s="231">
        <v>25</v>
      </c>
      <c r="AC13" s="231">
        <v>26</v>
      </c>
      <c r="AD13" s="231">
        <v>27</v>
      </c>
      <c r="AE13" s="231">
        <v>28</v>
      </c>
      <c r="AF13" s="231">
        <v>29</v>
      </c>
      <c r="AG13" s="231">
        <v>30</v>
      </c>
      <c r="AH13" s="231">
        <v>31</v>
      </c>
      <c r="AI13" s="232">
        <v>32</v>
      </c>
      <c r="AJ13" s="231">
        <v>33</v>
      </c>
      <c r="AK13" s="231">
        <v>34</v>
      </c>
    </row>
    <row r="14" spans="1:37" s="240" customFormat="1" ht="120.75" customHeight="1" thickBot="1" x14ac:dyDescent="0.3">
      <c r="A14" s="666"/>
      <c r="B14" s="667"/>
      <c r="C14" s="668"/>
      <c r="D14" s="369" t="s">
        <v>22</v>
      </c>
      <c r="E14" s="234" t="s">
        <v>23</v>
      </c>
      <c r="F14" s="234" t="s">
        <v>24</v>
      </c>
      <c r="G14" s="234" t="s">
        <v>25</v>
      </c>
      <c r="H14" s="234" t="s">
        <v>19</v>
      </c>
      <c r="I14" s="234" t="s">
        <v>20</v>
      </c>
      <c r="J14" s="234" t="s">
        <v>21</v>
      </c>
      <c r="K14" s="234" t="s">
        <v>26</v>
      </c>
      <c r="L14" s="234" t="s">
        <v>27</v>
      </c>
      <c r="M14" s="234" t="s">
        <v>28</v>
      </c>
      <c r="N14" s="234" t="s">
        <v>29</v>
      </c>
      <c r="O14" s="235" t="s">
        <v>0</v>
      </c>
      <c r="P14" s="236" t="s">
        <v>1</v>
      </c>
      <c r="Q14" s="237" t="s">
        <v>30</v>
      </c>
      <c r="R14" s="234" t="s">
        <v>2</v>
      </c>
      <c r="S14" s="234" t="s">
        <v>31</v>
      </c>
      <c r="T14" s="234" t="s">
        <v>32</v>
      </c>
      <c r="U14" s="234" t="s">
        <v>47</v>
      </c>
      <c r="V14" s="234" t="s">
        <v>48</v>
      </c>
      <c r="W14" s="236" t="s">
        <v>49</v>
      </c>
      <c r="X14" s="234" t="s">
        <v>33</v>
      </c>
      <c r="Y14" s="236" t="s">
        <v>34</v>
      </c>
      <c r="Z14" s="236" t="s">
        <v>35</v>
      </c>
      <c r="AA14" s="234" t="s">
        <v>36</v>
      </c>
      <c r="AB14" s="238" t="s">
        <v>37</v>
      </c>
      <c r="AC14" s="234" t="s">
        <v>38</v>
      </c>
      <c r="AD14" s="234" t="s">
        <v>39</v>
      </c>
      <c r="AE14" s="236" t="s">
        <v>40</v>
      </c>
      <c r="AF14" s="234" t="s">
        <v>41</v>
      </c>
      <c r="AG14" s="234" t="s">
        <v>42</v>
      </c>
      <c r="AH14" s="236" t="s">
        <v>43</v>
      </c>
      <c r="AI14" s="235" t="s">
        <v>44</v>
      </c>
      <c r="AJ14" s="234" t="s">
        <v>45</v>
      </c>
      <c r="AK14" s="239" t="s">
        <v>46</v>
      </c>
    </row>
    <row r="15" spans="1:37" s="213" customFormat="1" ht="39" customHeight="1" x14ac:dyDescent="0.25">
      <c r="A15" s="370" t="s">
        <v>156</v>
      </c>
      <c r="B15" s="669" t="s">
        <v>157</v>
      </c>
      <c r="C15" s="669"/>
      <c r="D15" s="242" t="s">
        <v>135</v>
      </c>
      <c r="E15" s="242">
        <v>1</v>
      </c>
      <c r="F15" s="242" t="s">
        <v>5</v>
      </c>
      <c r="G15" s="242"/>
      <c r="H15" s="242" t="s">
        <v>136</v>
      </c>
      <c r="I15" s="242" t="s">
        <v>137</v>
      </c>
      <c r="J15" s="242">
        <v>87106</v>
      </c>
      <c r="K15" s="242" t="s">
        <v>140</v>
      </c>
      <c r="L15" s="242">
        <v>459012345</v>
      </c>
      <c r="M15" s="242">
        <v>1</v>
      </c>
      <c r="N15" s="242">
        <v>1</v>
      </c>
      <c r="O15" s="242">
        <v>1</v>
      </c>
      <c r="P15" s="243">
        <v>4</v>
      </c>
      <c r="Q15" s="244" t="s">
        <v>199</v>
      </c>
      <c r="R15" s="242" t="s">
        <v>132</v>
      </c>
      <c r="S15" s="242" t="s">
        <v>133</v>
      </c>
      <c r="T15" s="242" t="s">
        <v>8</v>
      </c>
      <c r="U15" s="242"/>
      <c r="V15" s="242"/>
      <c r="W15" s="243"/>
      <c r="X15" s="242"/>
      <c r="Y15" s="243"/>
      <c r="Z15" s="243"/>
      <c r="AA15" s="242"/>
      <c r="AB15" s="243"/>
      <c r="AC15" s="242"/>
      <c r="AD15" s="242"/>
      <c r="AE15" s="243"/>
      <c r="AF15" s="242"/>
      <c r="AG15" s="242" t="s">
        <v>119</v>
      </c>
      <c r="AH15" s="243">
        <v>0.5</v>
      </c>
      <c r="AI15" s="242"/>
      <c r="AJ15" s="242"/>
      <c r="AK15" s="242"/>
    </row>
    <row r="16" spans="1:37" s="213" customFormat="1" ht="39" customHeight="1" thickBot="1" x14ac:dyDescent="0.3">
      <c r="A16" s="335" t="s">
        <v>156</v>
      </c>
      <c r="B16" s="670" t="s">
        <v>157</v>
      </c>
      <c r="C16" s="670"/>
      <c r="D16" s="336" t="s">
        <v>135</v>
      </c>
      <c r="E16" s="336">
        <v>1</v>
      </c>
      <c r="F16" s="336" t="s">
        <v>5</v>
      </c>
      <c r="G16" s="336"/>
      <c r="H16" s="336" t="s">
        <v>136</v>
      </c>
      <c r="I16" s="336" t="s">
        <v>137</v>
      </c>
      <c r="J16" s="336">
        <v>87106</v>
      </c>
      <c r="K16" s="336" t="s">
        <v>140</v>
      </c>
      <c r="L16" s="336">
        <v>459012345</v>
      </c>
      <c r="M16" s="336">
        <v>1</v>
      </c>
      <c r="N16" s="336">
        <v>1</v>
      </c>
      <c r="O16" s="336">
        <v>1</v>
      </c>
      <c r="P16" s="337">
        <v>4</v>
      </c>
      <c r="Q16" s="338">
        <v>42100005448</v>
      </c>
      <c r="R16" s="336" t="s">
        <v>200</v>
      </c>
      <c r="S16" s="336" t="s">
        <v>133</v>
      </c>
      <c r="T16" s="336" t="s">
        <v>8</v>
      </c>
      <c r="U16" s="336"/>
      <c r="V16" s="336"/>
      <c r="W16" s="337"/>
      <c r="X16" s="336"/>
      <c r="Y16" s="337"/>
      <c r="Z16" s="337"/>
      <c r="AA16" s="336"/>
      <c r="AB16" s="337"/>
      <c r="AC16" s="336"/>
      <c r="AD16" s="336"/>
      <c r="AE16" s="337"/>
      <c r="AF16" s="336"/>
      <c r="AG16" s="336" t="s">
        <v>119</v>
      </c>
      <c r="AH16" s="337">
        <v>0.5</v>
      </c>
      <c r="AI16" s="336"/>
      <c r="AJ16" s="336"/>
      <c r="AK16" s="336"/>
    </row>
    <row r="17" spans="1:37" s="211" customFormat="1" ht="51.75" thickBot="1" x14ac:dyDescent="0.3">
      <c r="A17" s="280" t="s">
        <v>244</v>
      </c>
      <c r="B17" s="281" t="s">
        <v>218</v>
      </c>
      <c r="C17" s="282" t="s">
        <v>159</v>
      </c>
      <c r="D17" s="283" t="s">
        <v>135</v>
      </c>
      <c r="E17" s="283">
        <v>1</v>
      </c>
      <c r="F17" s="283" t="s">
        <v>5</v>
      </c>
      <c r="G17" s="283"/>
      <c r="H17" s="283" t="s">
        <v>136</v>
      </c>
      <c r="I17" s="283" t="s">
        <v>137</v>
      </c>
      <c r="J17" s="283">
        <v>87106</v>
      </c>
      <c r="K17" s="283" t="s">
        <v>138</v>
      </c>
      <c r="L17" s="284">
        <v>459098765</v>
      </c>
      <c r="M17" s="283">
        <v>1</v>
      </c>
      <c r="N17" s="283">
        <v>1</v>
      </c>
      <c r="O17" s="283">
        <v>1</v>
      </c>
      <c r="P17" s="285">
        <v>3.5</v>
      </c>
      <c r="Q17" s="286" t="s">
        <v>199</v>
      </c>
      <c r="R17" s="283" t="s">
        <v>132</v>
      </c>
      <c r="S17" s="283" t="s">
        <v>133</v>
      </c>
      <c r="T17" s="287" t="s">
        <v>13</v>
      </c>
      <c r="U17" s="283"/>
      <c r="V17" s="283"/>
      <c r="W17" s="288"/>
      <c r="X17" s="283"/>
      <c r="Y17" s="288"/>
      <c r="Z17" s="288"/>
      <c r="AA17" s="283"/>
      <c r="AB17" s="285">
        <v>0.5</v>
      </c>
      <c r="AC17" s="283"/>
      <c r="AD17" s="283"/>
      <c r="AE17" s="288"/>
      <c r="AF17" s="283"/>
      <c r="AG17" s="314" t="s">
        <v>119</v>
      </c>
      <c r="AH17" s="372">
        <v>0.5</v>
      </c>
      <c r="AI17" s="283"/>
      <c r="AJ17" s="287" t="s">
        <v>139</v>
      </c>
      <c r="AK17" s="289">
        <v>20323</v>
      </c>
    </row>
    <row r="18" spans="1:37" s="211" customFormat="1" ht="14.25" customHeight="1" thickBot="1" x14ac:dyDescent="0.3">
      <c r="A18" s="490"/>
      <c r="B18" s="467"/>
      <c r="C18" s="468"/>
      <c r="D18" s="469"/>
      <c r="E18" s="469"/>
      <c r="F18" s="469"/>
      <c r="G18" s="469"/>
      <c r="H18" s="469"/>
      <c r="I18" s="469"/>
      <c r="J18" s="469"/>
      <c r="K18" s="469"/>
      <c r="L18" s="469"/>
      <c r="M18" s="469"/>
      <c r="N18" s="469"/>
      <c r="O18" s="469"/>
      <c r="P18" s="470"/>
      <c r="Q18" s="471"/>
      <c r="R18" s="469"/>
      <c r="S18" s="469"/>
      <c r="T18" s="469"/>
      <c r="U18" s="469"/>
      <c r="V18" s="469"/>
      <c r="W18" s="469"/>
      <c r="X18" s="469"/>
      <c r="Y18" s="469"/>
      <c r="Z18" s="469"/>
      <c r="AA18" s="469"/>
      <c r="AB18" s="470"/>
      <c r="AC18" s="469"/>
      <c r="AD18" s="469"/>
      <c r="AE18" s="469"/>
      <c r="AF18" s="469"/>
      <c r="AG18" s="469"/>
      <c r="AH18" s="469"/>
      <c r="AI18" s="469"/>
      <c r="AJ18" s="469"/>
      <c r="AK18" s="472"/>
    </row>
    <row r="19" spans="1:37" s="211" customFormat="1" ht="65.25" customHeight="1" thickBot="1" x14ac:dyDescent="0.3">
      <c r="A19" s="280" t="s">
        <v>245</v>
      </c>
      <c r="B19" s="281" t="s">
        <v>219</v>
      </c>
      <c r="C19" s="282" t="s">
        <v>159</v>
      </c>
      <c r="D19" s="283" t="s">
        <v>135</v>
      </c>
      <c r="E19" s="283">
        <v>1</v>
      </c>
      <c r="F19" s="283" t="s">
        <v>5</v>
      </c>
      <c r="G19" s="283"/>
      <c r="H19" s="283" t="s">
        <v>136</v>
      </c>
      <c r="I19" s="283" t="s">
        <v>137</v>
      </c>
      <c r="J19" s="283">
        <v>87106</v>
      </c>
      <c r="K19" s="283" t="s">
        <v>138</v>
      </c>
      <c r="L19" s="284">
        <v>459098765</v>
      </c>
      <c r="M19" s="283">
        <v>1</v>
      </c>
      <c r="N19" s="283">
        <v>1</v>
      </c>
      <c r="O19" s="283">
        <v>2</v>
      </c>
      <c r="P19" s="285">
        <v>3.5</v>
      </c>
      <c r="Q19" s="286" t="s">
        <v>199</v>
      </c>
      <c r="R19" s="283" t="s">
        <v>132</v>
      </c>
      <c r="S19" s="283" t="s">
        <v>133</v>
      </c>
      <c r="T19" s="287" t="s">
        <v>13</v>
      </c>
      <c r="U19" s="283"/>
      <c r="V19" s="283"/>
      <c r="W19" s="288"/>
      <c r="X19" s="283"/>
      <c r="Y19" s="288"/>
      <c r="Z19" s="288"/>
      <c r="AA19" s="283"/>
      <c r="AB19" s="285">
        <v>0.5</v>
      </c>
      <c r="AC19" s="283"/>
      <c r="AD19" s="283"/>
      <c r="AE19" s="288"/>
      <c r="AF19" s="283"/>
      <c r="AG19" s="314" t="s">
        <v>119</v>
      </c>
      <c r="AH19" s="372">
        <v>0.5</v>
      </c>
      <c r="AI19" s="283"/>
      <c r="AJ19" s="287" t="s">
        <v>139</v>
      </c>
      <c r="AK19" s="289">
        <v>20323</v>
      </c>
    </row>
    <row r="20" spans="1:37" s="211" customFormat="1" ht="14.25" customHeight="1" thickBot="1" x14ac:dyDescent="0.3">
      <c r="A20" s="490"/>
      <c r="B20" s="467"/>
      <c r="C20" s="468"/>
      <c r="D20" s="469"/>
      <c r="E20" s="469"/>
      <c r="F20" s="469"/>
      <c r="G20" s="469"/>
      <c r="H20" s="469"/>
      <c r="I20" s="469"/>
      <c r="J20" s="469"/>
      <c r="K20" s="469"/>
      <c r="L20" s="469"/>
      <c r="M20" s="469"/>
      <c r="N20" s="469"/>
      <c r="O20" s="469"/>
      <c r="P20" s="470"/>
      <c r="Q20" s="471"/>
      <c r="R20" s="469"/>
      <c r="S20" s="469"/>
      <c r="T20" s="469"/>
      <c r="U20" s="469"/>
      <c r="V20" s="469"/>
      <c r="W20" s="469"/>
      <c r="X20" s="469"/>
      <c r="Y20" s="469"/>
      <c r="Z20" s="469"/>
      <c r="AA20" s="469"/>
      <c r="AB20" s="470"/>
      <c r="AC20" s="469"/>
      <c r="AD20" s="469"/>
      <c r="AE20" s="469"/>
      <c r="AF20" s="469"/>
      <c r="AG20" s="469"/>
      <c r="AH20" s="469"/>
      <c r="AI20" s="469"/>
      <c r="AJ20" s="469"/>
      <c r="AK20" s="472"/>
    </row>
    <row r="21" spans="1:37" s="211" customFormat="1" ht="65.25" customHeight="1" thickBot="1" x14ac:dyDescent="0.3">
      <c r="A21" s="250" t="s">
        <v>246</v>
      </c>
      <c r="B21" s="251" t="s">
        <v>220</v>
      </c>
      <c r="C21" s="252" t="s">
        <v>159</v>
      </c>
      <c r="D21" s="253" t="s">
        <v>135</v>
      </c>
      <c r="E21" s="253">
        <v>1</v>
      </c>
      <c r="F21" s="253" t="s">
        <v>5</v>
      </c>
      <c r="G21" s="253"/>
      <c r="H21" s="253" t="s">
        <v>136</v>
      </c>
      <c r="I21" s="253" t="s">
        <v>137</v>
      </c>
      <c r="J21" s="253">
        <v>87106</v>
      </c>
      <c r="K21" s="253" t="s">
        <v>138</v>
      </c>
      <c r="L21" s="254">
        <v>459098765</v>
      </c>
      <c r="M21" s="253">
        <v>1</v>
      </c>
      <c r="N21" s="253">
        <v>1</v>
      </c>
      <c r="O21" s="253">
        <v>3</v>
      </c>
      <c r="P21" s="255">
        <v>3.5</v>
      </c>
      <c r="Q21" s="256" t="s">
        <v>199</v>
      </c>
      <c r="R21" s="253" t="s">
        <v>132</v>
      </c>
      <c r="S21" s="253" t="s">
        <v>133</v>
      </c>
      <c r="T21" s="257" t="s">
        <v>13</v>
      </c>
      <c r="U21" s="253"/>
      <c r="V21" s="253"/>
      <c r="W21" s="258"/>
      <c r="X21" s="253"/>
      <c r="Y21" s="258"/>
      <c r="Z21" s="258"/>
      <c r="AA21" s="253"/>
      <c r="AB21" s="255">
        <v>0.5</v>
      </c>
      <c r="AC21" s="253"/>
      <c r="AD21" s="253"/>
      <c r="AE21" s="258"/>
      <c r="AF21" s="253"/>
      <c r="AG21" s="314" t="s">
        <v>119</v>
      </c>
      <c r="AH21" s="372">
        <v>0.5</v>
      </c>
      <c r="AI21" s="253"/>
      <c r="AJ21" s="257" t="s">
        <v>139</v>
      </c>
      <c r="AK21" s="259">
        <v>20323</v>
      </c>
    </row>
    <row r="22" spans="1:37" s="211" customFormat="1" ht="14.25" customHeight="1" thickBot="1" x14ac:dyDescent="0.3">
      <c r="A22" s="490"/>
      <c r="B22" s="467"/>
      <c r="C22" s="468"/>
      <c r="D22" s="469"/>
      <c r="E22" s="469"/>
      <c r="F22" s="469"/>
      <c r="G22" s="469"/>
      <c r="H22" s="469"/>
      <c r="I22" s="469"/>
      <c r="J22" s="469"/>
      <c r="K22" s="469"/>
      <c r="L22" s="469"/>
      <c r="M22" s="469"/>
      <c r="N22" s="469"/>
      <c r="O22" s="469"/>
      <c r="P22" s="470"/>
      <c r="Q22" s="471"/>
      <c r="R22" s="469"/>
      <c r="S22" s="469"/>
      <c r="T22" s="469"/>
      <c r="U22" s="469"/>
      <c r="V22" s="469"/>
      <c r="W22" s="469"/>
      <c r="X22" s="469"/>
      <c r="Y22" s="469"/>
      <c r="Z22" s="469"/>
      <c r="AA22" s="469"/>
      <c r="AB22" s="470"/>
      <c r="AC22" s="469"/>
      <c r="AD22" s="469"/>
      <c r="AE22" s="469"/>
      <c r="AF22" s="469"/>
      <c r="AG22" s="469"/>
      <c r="AH22" s="469"/>
      <c r="AI22" s="469"/>
      <c r="AJ22" s="469"/>
      <c r="AK22" s="472"/>
    </row>
    <row r="23" spans="1:37" s="211" customFormat="1" ht="52.5" customHeight="1" x14ac:dyDescent="0.25">
      <c r="A23" s="671" t="s">
        <v>247</v>
      </c>
      <c r="B23" s="673" t="s">
        <v>221</v>
      </c>
      <c r="C23" s="675" t="s">
        <v>159</v>
      </c>
      <c r="D23" s="294" t="s">
        <v>135</v>
      </c>
      <c r="E23" s="294">
        <v>1</v>
      </c>
      <c r="F23" s="294" t="s">
        <v>5</v>
      </c>
      <c r="G23" s="294"/>
      <c r="H23" s="294" t="s">
        <v>136</v>
      </c>
      <c r="I23" s="294" t="s">
        <v>137</v>
      </c>
      <c r="J23" s="294">
        <v>87106</v>
      </c>
      <c r="K23" s="294" t="s">
        <v>138</v>
      </c>
      <c r="L23" s="333">
        <v>459098765</v>
      </c>
      <c r="M23" s="294">
        <v>1</v>
      </c>
      <c r="N23" s="294">
        <v>1</v>
      </c>
      <c r="O23" s="294">
        <v>2</v>
      </c>
      <c r="P23" s="295">
        <v>3.5</v>
      </c>
      <c r="Q23" s="296" t="s">
        <v>199</v>
      </c>
      <c r="R23" s="294" t="s">
        <v>132</v>
      </c>
      <c r="S23" s="294" t="s">
        <v>133</v>
      </c>
      <c r="T23" s="297" t="s">
        <v>13</v>
      </c>
      <c r="U23" s="294"/>
      <c r="V23" s="294"/>
      <c r="W23" s="298"/>
      <c r="X23" s="294"/>
      <c r="Y23" s="298"/>
      <c r="Z23" s="298"/>
      <c r="AA23" s="294"/>
      <c r="AB23" s="295">
        <v>0.5</v>
      </c>
      <c r="AC23" s="294"/>
      <c r="AD23" s="294"/>
      <c r="AE23" s="298"/>
      <c r="AF23" s="294"/>
      <c r="AG23" s="314" t="s">
        <v>119</v>
      </c>
      <c r="AH23" s="372">
        <v>0.5</v>
      </c>
      <c r="AI23" s="294"/>
      <c r="AJ23" s="297" t="s">
        <v>139</v>
      </c>
      <c r="AK23" s="299">
        <v>20323</v>
      </c>
    </row>
    <row r="24" spans="1:37" s="211" customFormat="1" ht="52.5" customHeight="1" thickBot="1" x14ac:dyDescent="0.3">
      <c r="A24" s="672"/>
      <c r="B24" s="674"/>
      <c r="C24" s="676"/>
      <c r="D24" s="300" t="s">
        <v>135</v>
      </c>
      <c r="E24" s="300">
        <v>1</v>
      </c>
      <c r="F24" s="300" t="s">
        <v>5</v>
      </c>
      <c r="G24" s="300"/>
      <c r="H24" s="300" t="s">
        <v>136</v>
      </c>
      <c r="I24" s="300" t="s">
        <v>137</v>
      </c>
      <c r="J24" s="300">
        <v>87106</v>
      </c>
      <c r="K24" s="300" t="s">
        <v>138</v>
      </c>
      <c r="L24" s="334">
        <v>459098765</v>
      </c>
      <c r="M24" s="300">
        <v>2</v>
      </c>
      <c r="N24" s="300">
        <v>1</v>
      </c>
      <c r="O24" s="300">
        <v>1</v>
      </c>
      <c r="P24" s="301">
        <v>3.5</v>
      </c>
      <c r="Q24" s="302">
        <v>42100005448</v>
      </c>
      <c r="R24" s="300" t="s">
        <v>132</v>
      </c>
      <c r="S24" s="300" t="s">
        <v>133</v>
      </c>
      <c r="T24" s="303" t="s">
        <v>13</v>
      </c>
      <c r="U24" s="300"/>
      <c r="V24" s="300"/>
      <c r="W24" s="304"/>
      <c r="X24" s="300"/>
      <c r="Y24" s="304"/>
      <c r="Z24" s="304"/>
      <c r="AA24" s="300"/>
      <c r="AB24" s="301">
        <v>0.5</v>
      </c>
      <c r="AC24" s="300"/>
      <c r="AD24" s="300"/>
      <c r="AE24" s="304"/>
      <c r="AF24" s="300"/>
      <c r="AG24" s="314" t="s">
        <v>119</v>
      </c>
      <c r="AH24" s="372">
        <v>0.5</v>
      </c>
      <c r="AI24" s="300"/>
      <c r="AJ24" s="303" t="s">
        <v>139</v>
      </c>
      <c r="AK24" s="310">
        <v>20323</v>
      </c>
    </row>
    <row r="25" spans="1:37" s="211" customFormat="1" ht="14.25" customHeight="1" thickBot="1" x14ac:dyDescent="0.3">
      <c r="A25" s="490"/>
      <c r="B25" s="467"/>
      <c r="C25" s="468"/>
      <c r="D25" s="469"/>
      <c r="E25" s="469"/>
      <c r="F25" s="469"/>
      <c r="G25" s="469"/>
      <c r="H25" s="469"/>
      <c r="I25" s="469"/>
      <c r="J25" s="469"/>
      <c r="K25" s="469"/>
      <c r="L25" s="469"/>
      <c r="M25" s="469"/>
      <c r="N25" s="469"/>
      <c r="O25" s="469"/>
      <c r="P25" s="470"/>
      <c r="Q25" s="471"/>
      <c r="R25" s="469"/>
      <c r="S25" s="469"/>
      <c r="T25" s="469"/>
      <c r="U25" s="469"/>
      <c r="V25" s="469"/>
      <c r="W25" s="469"/>
      <c r="X25" s="469"/>
      <c r="Y25" s="469"/>
      <c r="Z25" s="469"/>
      <c r="AA25" s="469"/>
      <c r="AB25" s="470"/>
      <c r="AC25" s="469"/>
      <c r="AD25" s="469"/>
      <c r="AE25" s="469"/>
      <c r="AF25" s="469"/>
      <c r="AG25" s="469"/>
      <c r="AH25" s="469"/>
      <c r="AI25" s="469"/>
      <c r="AJ25" s="469"/>
      <c r="AK25" s="472"/>
    </row>
    <row r="26" spans="1:37" s="211" customFormat="1" ht="65.25" customHeight="1" thickBot="1" x14ac:dyDescent="0.3">
      <c r="A26" s="280" t="s">
        <v>248</v>
      </c>
      <c r="B26" s="281" t="s">
        <v>222</v>
      </c>
      <c r="C26" s="282" t="s">
        <v>159</v>
      </c>
      <c r="D26" s="283" t="s">
        <v>135</v>
      </c>
      <c r="E26" s="283">
        <v>1</v>
      </c>
      <c r="F26" s="283" t="s">
        <v>5</v>
      </c>
      <c r="G26" s="283"/>
      <c r="H26" s="283" t="s">
        <v>136</v>
      </c>
      <c r="I26" s="283" t="s">
        <v>137</v>
      </c>
      <c r="J26" s="283">
        <v>87106</v>
      </c>
      <c r="K26" s="283" t="s">
        <v>138</v>
      </c>
      <c r="L26" s="284">
        <v>459098765</v>
      </c>
      <c r="M26" s="283">
        <v>1</v>
      </c>
      <c r="N26" s="283">
        <v>1</v>
      </c>
      <c r="O26" s="283">
        <v>5</v>
      </c>
      <c r="P26" s="285">
        <v>3.5</v>
      </c>
      <c r="Q26" s="286" t="s">
        <v>199</v>
      </c>
      <c r="R26" s="283" t="s">
        <v>132</v>
      </c>
      <c r="S26" s="283" t="s">
        <v>133</v>
      </c>
      <c r="T26" s="287" t="s">
        <v>13</v>
      </c>
      <c r="U26" s="283"/>
      <c r="V26" s="283"/>
      <c r="W26" s="288"/>
      <c r="X26" s="283"/>
      <c r="Y26" s="288"/>
      <c r="Z26" s="288"/>
      <c r="AA26" s="283"/>
      <c r="AB26" s="285">
        <v>0.5</v>
      </c>
      <c r="AC26" s="283"/>
      <c r="AD26" s="283"/>
      <c r="AE26" s="288"/>
      <c r="AF26" s="283"/>
      <c r="AG26" s="314" t="s">
        <v>119</v>
      </c>
      <c r="AH26" s="372">
        <v>0.5</v>
      </c>
      <c r="AI26" s="283"/>
      <c r="AJ26" s="287" t="s">
        <v>139</v>
      </c>
      <c r="AK26" s="289">
        <v>20323</v>
      </c>
    </row>
    <row r="27" spans="1:37" s="211" customFormat="1" ht="14.25" customHeight="1" thickBot="1" x14ac:dyDescent="0.3">
      <c r="A27" s="490"/>
      <c r="B27" s="467"/>
      <c r="C27" s="468"/>
      <c r="D27" s="469"/>
      <c r="E27" s="469"/>
      <c r="F27" s="469"/>
      <c r="G27" s="469"/>
      <c r="H27" s="469"/>
      <c r="I27" s="469"/>
      <c r="J27" s="469"/>
      <c r="K27" s="469"/>
      <c r="L27" s="469"/>
      <c r="M27" s="469"/>
      <c r="N27" s="469"/>
      <c r="O27" s="469"/>
      <c r="P27" s="470"/>
      <c r="Q27" s="471"/>
      <c r="R27" s="469"/>
      <c r="S27" s="469"/>
      <c r="T27" s="469"/>
      <c r="U27" s="469"/>
      <c r="V27" s="469"/>
      <c r="W27" s="469"/>
      <c r="X27" s="469"/>
      <c r="Y27" s="469"/>
      <c r="Z27" s="469"/>
      <c r="AA27" s="469"/>
      <c r="AB27" s="470"/>
      <c r="AC27" s="469"/>
      <c r="AD27" s="469"/>
      <c r="AE27" s="469"/>
      <c r="AF27" s="469"/>
      <c r="AG27" s="469"/>
      <c r="AH27" s="469"/>
      <c r="AI27" s="469"/>
      <c r="AJ27" s="469"/>
      <c r="AK27" s="472"/>
    </row>
    <row r="28" spans="1:37" s="211" customFormat="1" ht="39" customHeight="1" x14ac:dyDescent="0.25">
      <c r="A28" s="671" t="s">
        <v>249</v>
      </c>
      <c r="B28" s="633" t="s">
        <v>223</v>
      </c>
      <c r="C28" s="679" t="s">
        <v>201</v>
      </c>
      <c r="D28" s="294" t="s">
        <v>135</v>
      </c>
      <c r="E28" s="294">
        <v>1</v>
      </c>
      <c r="F28" s="294" t="s">
        <v>5</v>
      </c>
      <c r="G28" s="294"/>
      <c r="H28" s="294" t="s">
        <v>136</v>
      </c>
      <c r="I28" s="294" t="s">
        <v>137</v>
      </c>
      <c r="J28" s="294">
        <v>87106</v>
      </c>
      <c r="K28" s="294" t="s">
        <v>138</v>
      </c>
      <c r="L28" s="333">
        <v>45998769</v>
      </c>
      <c r="M28" s="294">
        <v>1</v>
      </c>
      <c r="N28" s="294">
        <v>1</v>
      </c>
      <c r="O28" s="294">
        <v>1</v>
      </c>
      <c r="P28" s="295">
        <v>3.5</v>
      </c>
      <c r="Q28" s="296" t="s">
        <v>199</v>
      </c>
      <c r="R28" s="294" t="s">
        <v>132</v>
      </c>
      <c r="S28" s="294" t="s">
        <v>133</v>
      </c>
      <c r="T28" s="297" t="s">
        <v>13</v>
      </c>
      <c r="U28" s="294"/>
      <c r="V28" s="294"/>
      <c r="W28" s="298"/>
      <c r="X28" s="294"/>
      <c r="Y28" s="298"/>
      <c r="Z28" s="298"/>
      <c r="AA28" s="294"/>
      <c r="AB28" s="295">
        <v>0.5</v>
      </c>
      <c r="AC28" s="294"/>
      <c r="AD28" s="294"/>
      <c r="AE28" s="298"/>
      <c r="AF28" s="294"/>
      <c r="AG28" s="314" t="s">
        <v>119</v>
      </c>
      <c r="AH28" s="372">
        <v>0.5</v>
      </c>
      <c r="AI28" s="294"/>
      <c r="AJ28" s="297" t="s">
        <v>139</v>
      </c>
      <c r="AK28" s="299">
        <v>20323</v>
      </c>
    </row>
    <row r="29" spans="1:37" s="211" customFormat="1" ht="39" customHeight="1" x14ac:dyDescent="0.25">
      <c r="A29" s="677"/>
      <c r="B29" s="678"/>
      <c r="C29" s="680"/>
      <c r="D29" s="253" t="s">
        <v>135</v>
      </c>
      <c r="E29" s="253">
        <v>1</v>
      </c>
      <c r="F29" s="253" t="s">
        <v>5</v>
      </c>
      <c r="G29" s="253"/>
      <c r="H29" s="253" t="s">
        <v>136</v>
      </c>
      <c r="I29" s="253" t="s">
        <v>137</v>
      </c>
      <c r="J29" s="253">
        <v>87106</v>
      </c>
      <c r="K29" s="253" t="s">
        <v>138</v>
      </c>
      <c r="L29" s="254">
        <v>45998769</v>
      </c>
      <c r="M29" s="253">
        <v>2</v>
      </c>
      <c r="N29" s="253">
        <v>1</v>
      </c>
      <c r="O29" s="253">
        <v>1</v>
      </c>
      <c r="P29" s="255">
        <v>3.5</v>
      </c>
      <c r="Q29" s="256" t="s">
        <v>199</v>
      </c>
      <c r="R29" s="253" t="s">
        <v>132</v>
      </c>
      <c r="S29" s="253" t="s">
        <v>133</v>
      </c>
      <c r="T29" s="257" t="s">
        <v>13</v>
      </c>
      <c r="U29" s="253"/>
      <c r="V29" s="253"/>
      <c r="W29" s="258"/>
      <c r="X29" s="253"/>
      <c r="Y29" s="258"/>
      <c r="Z29" s="258"/>
      <c r="AA29" s="253"/>
      <c r="AB29" s="255">
        <v>0.5</v>
      </c>
      <c r="AC29" s="253"/>
      <c r="AD29" s="253"/>
      <c r="AE29" s="258"/>
      <c r="AF29" s="253"/>
      <c r="AG29" s="314" t="s">
        <v>119</v>
      </c>
      <c r="AH29" s="372">
        <v>0.5</v>
      </c>
      <c r="AI29" s="253"/>
      <c r="AJ29" s="257" t="s">
        <v>139</v>
      </c>
      <c r="AK29" s="351">
        <v>20323</v>
      </c>
    </row>
    <row r="30" spans="1:37" s="211" customFormat="1" ht="39" customHeight="1" x14ac:dyDescent="0.25">
      <c r="A30" s="677"/>
      <c r="B30" s="678"/>
      <c r="C30" s="680"/>
      <c r="D30" s="253" t="s">
        <v>135</v>
      </c>
      <c r="E30" s="253">
        <v>1</v>
      </c>
      <c r="F30" s="253" t="s">
        <v>5</v>
      </c>
      <c r="G30" s="253"/>
      <c r="H30" s="253" t="s">
        <v>136</v>
      </c>
      <c r="I30" s="253" t="s">
        <v>137</v>
      </c>
      <c r="J30" s="253">
        <v>87106</v>
      </c>
      <c r="K30" s="253" t="s">
        <v>138</v>
      </c>
      <c r="L30" s="254">
        <v>45998769</v>
      </c>
      <c r="M30" s="253">
        <v>3</v>
      </c>
      <c r="N30" s="253">
        <v>1</v>
      </c>
      <c r="O30" s="253">
        <v>1</v>
      </c>
      <c r="P30" s="255">
        <v>3.5</v>
      </c>
      <c r="Q30" s="256" t="s">
        <v>199</v>
      </c>
      <c r="R30" s="253" t="s">
        <v>132</v>
      </c>
      <c r="S30" s="253" t="s">
        <v>133</v>
      </c>
      <c r="T30" s="257" t="s">
        <v>13</v>
      </c>
      <c r="U30" s="253"/>
      <c r="V30" s="253"/>
      <c r="W30" s="258"/>
      <c r="X30" s="253"/>
      <c r="Y30" s="258"/>
      <c r="Z30" s="258"/>
      <c r="AA30" s="253"/>
      <c r="AB30" s="255">
        <v>0.5</v>
      </c>
      <c r="AC30" s="253"/>
      <c r="AD30" s="253"/>
      <c r="AE30" s="258"/>
      <c r="AF30" s="253"/>
      <c r="AG30" s="314" t="s">
        <v>119</v>
      </c>
      <c r="AH30" s="372">
        <v>0.5</v>
      </c>
      <c r="AI30" s="253"/>
      <c r="AJ30" s="257" t="s">
        <v>139</v>
      </c>
      <c r="AK30" s="351">
        <v>20323</v>
      </c>
    </row>
    <row r="31" spans="1:37" s="211" customFormat="1" ht="39" customHeight="1" x14ac:dyDescent="0.25">
      <c r="A31" s="677"/>
      <c r="B31" s="678"/>
      <c r="C31" s="680"/>
      <c r="D31" s="253" t="s">
        <v>135</v>
      </c>
      <c r="E31" s="253">
        <v>1</v>
      </c>
      <c r="F31" s="253" t="s">
        <v>5</v>
      </c>
      <c r="G31" s="253"/>
      <c r="H31" s="253" t="s">
        <v>136</v>
      </c>
      <c r="I31" s="253" t="s">
        <v>137</v>
      </c>
      <c r="J31" s="253">
        <v>87106</v>
      </c>
      <c r="K31" s="253" t="s">
        <v>138</v>
      </c>
      <c r="L31" s="254">
        <v>45998769</v>
      </c>
      <c r="M31" s="253">
        <v>4</v>
      </c>
      <c r="N31" s="253">
        <v>1</v>
      </c>
      <c r="O31" s="253">
        <v>1</v>
      </c>
      <c r="P31" s="255">
        <v>3.5</v>
      </c>
      <c r="Q31" s="256" t="s">
        <v>199</v>
      </c>
      <c r="R31" s="253" t="s">
        <v>132</v>
      </c>
      <c r="S31" s="253" t="s">
        <v>133</v>
      </c>
      <c r="T31" s="257" t="s">
        <v>13</v>
      </c>
      <c r="U31" s="253"/>
      <c r="V31" s="253"/>
      <c r="W31" s="258"/>
      <c r="X31" s="253"/>
      <c r="Y31" s="258"/>
      <c r="Z31" s="258"/>
      <c r="AA31" s="253"/>
      <c r="AB31" s="255">
        <v>0.5</v>
      </c>
      <c r="AC31" s="253"/>
      <c r="AD31" s="253"/>
      <c r="AE31" s="258"/>
      <c r="AF31" s="253"/>
      <c r="AG31" s="314" t="s">
        <v>119</v>
      </c>
      <c r="AH31" s="372">
        <v>0.5</v>
      </c>
      <c r="AI31" s="253"/>
      <c r="AJ31" s="257" t="s">
        <v>139</v>
      </c>
      <c r="AK31" s="351">
        <v>20323</v>
      </c>
    </row>
    <row r="32" spans="1:37" s="211" customFormat="1" ht="39" customHeight="1" thickBot="1" x14ac:dyDescent="0.3">
      <c r="A32" s="672"/>
      <c r="B32" s="634"/>
      <c r="C32" s="681"/>
      <c r="D32" s="300" t="s">
        <v>135</v>
      </c>
      <c r="E32" s="300">
        <v>1</v>
      </c>
      <c r="F32" s="300" t="s">
        <v>5</v>
      </c>
      <c r="G32" s="300"/>
      <c r="H32" s="300" t="s">
        <v>136</v>
      </c>
      <c r="I32" s="300" t="s">
        <v>137</v>
      </c>
      <c r="J32" s="300">
        <v>87106</v>
      </c>
      <c r="K32" s="300" t="s">
        <v>138</v>
      </c>
      <c r="L32" s="334">
        <v>45998769</v>
      </c>
      <c r="M32" s="300">
        <v>5</v>
      </c>
      <c r="N32" s="300">
        <v>1</v>
      </c>
      <c r="O32" s="300">
        <v>1</v>
      </c>
      <c r="P32" s="301">
        <v>3.5</v>
      </c>
      <c r="Q32" s="302" t="s">
        <v>199</v>
      </c>
      <c r="R32" s="300" t="s">
        <v>132</v>
      </c>
      <c r="S32" s="300" t="s">
        <v>133</v>
      </c>
      <c r="T32" s="303" t="s">
        <v>13</v>
      </c>
      <c r="U32" s="300"/>
      <c r="V32" s="300"/>
      <c r="W32" s="304"/>
      <c r="X32" s="300"/>
      <c r="Y32" s="304"/>
      <c r="Z32" s="304"/>
      <c r="AA32" s="300"/>
      <c r="AB32" s="301">
        <v>0.5</v>
      </c>
      <c r="AC32" s="300"/>
      <c r="AD32" s="300"/>
      <c r="AE32" s="304"/>
      <c r="AF32" s="300"/>
      <c r="AG32" s="314" t="s">
        <v>119</v>
      </c>
      <c r="AH32" s="372">
        <v>0.5</v>
      </c>
      <c r="AI32" s="300"/>
      <c r="AJ32" s="303" t="s">
        <v>139</v>
      </c>
      <c r="AK32" s="310">
        <v>20323</v>
      </c>
    </row>
    <row r="33" spans="1:37" s="211" customFormat="1" ht="14.25" customHeight="1" thickBot="1" x14ac:dyDescent="0.3">
      <c r="A33" s="490"/>
      <c r="B33" s="467"/>
      <c r="C33" s="468"/>
      <c r="D33" s="469"/>
      <c r="E33" s="469"/>
      <c r="F33" s="469"/>
      <c r="G33" s="469"/>
      <c r="H33" s="469"/>
      <c r="I33" s="469"/>
      <c r="J33" s="469"/>
      <c r="K33" s="469"/>
      <c r="L33" s="469"/>
      <c r="M33" s="469"/>
      <c r="N33" s="469"/>
      <c r="O33" s="469"/>
      <c r="P33" s="470"/>
      <c r="Q33" s="471"/>
      <c r="R33" s="469"/>
      <c r="S33" s="469"/>
      <c r="T33" s="469"/>
      <c r="U33" s="469"/>
      <c r="V33" s="469"/>
      <c r="W33" s="469"/>
      <c r="X33" s="469"/>
      <c r="Y33" s="469"/>
      <c r="Z33" s="469"/>
      <c r="AA33" s="469"/>
      <c r="AB33" s="470"/>
      <c r="AC33" s="469"/>
      <c r="AD33" s="469"/>
      <c r="AE33" s="469"/>
      <c r="AF33" s="469"/>
      <c r="AG33" s="469"/>
      <c r="AH33" s="469"/>
      <c r="AI33" s="469"/>
      <c r="AJ33" s="469"/>
      <c r="AK33" s="472"/>
    </row>
    <row r="34" spans="1:37" s="220" customFormat="1" ht="13.5" customHeight="1" x14ac:dyDescent="0.25"/>
    <row r="35" spans="1:37" s="262" customFormat="1" ht="24.75" customHeight="1" thickBot="1" x14ac:dyDescent="0.3">
      <c r="A35" s="645" t="s">
        <v>202</v>
      </c>
      <c r="B35" s="646"/>
      <c r="C35" s="646"/>
      <c r="D35" s="646"/>
      <c r="E35" s="646"/>
      <c r="F35" s="646"/>
      <c r="G35" s="646"/>
      <c r="H35" s="646"/>
      <c r="I35" s="646"/>
      <c r="J35" s="646"/>
      <c r="K35" s="646"/>
      <c r="L35" s="646"/>
      <c r="M35" s="646"/>
      <c r="N35" s="646"/>
      <c r="O35" s="646"/>
      <c r="P35" s="646"/>
      <c r="Q35" s="646"/>
      <c r="R35" s="646"/>
      <c r="S35" s="646"/>
      <c r="T35" s="646"/>
      <c r="U35" s="646"/>
      <c r="V35" s="646"/>
      <c r="W35" s="646"/>
      <c r="X35" s="646"/>
      <c r="Y35" s="646"/>
      <c r="Z35" s="646"/>
      <c r="AA35" s="646"/>
      <c r="AB35" s="646"/>
      <c r="AC35" s="646"/>
      <c r="AD35" s="646"/>
      <c r="AE35" s="646"/>
    </row>
    <row r="36" spans="1:37" s="211" customFormat="1" ht="14.25" customHeight="1" thickBot="1" x14ac:dyDescent="0.3">
      <c r="A36" s="490"/>
      <c r="B36" s="467"/>
      <c r="C36" s="468"/>
      <c r="D36" s="469"/>
      <c r="E36" s="469"/>
      <c r="F36" s="469"/>
      <c r="G36" s="469"/>
      <c r="H36" s="469"/>
      <c r="I36" s="469"/>
      <c r="J36" s="469"/>
      <c r="K36" s="469"/>
      <c r="L36" s="469"/>
      <c r="M36" s="469"/>
      <c r="N36" s="469"/>
      <c r="O36" s="469"/>
      <c r="P36" s="470"/>
      <c r="Q36" s="471"/>
      <c r="R36" s="469"/>
      <c r="S36" s="469"/>
      <c r="T36" s="469"/>
      <c r="U36" s="469"/>
      <c r="V36" s="469"/>
      <c r="W36" s="469"/>
      <c r="X36" s="469"/>
      <c r="Y36" s="469"/>
      <c r="Z36" s="469"/>
      <c r="AA36" s="469"/>
      <c r="AB36" s="470"/>
      <c r="AC36" s="469"/>
      <c r="AD36" s="469"/>
      <c r="AE36" s="469"/>
      <c r="AF36" s="469"/>
      <c r="AG36" s="469"/>
      <c r="AH36" s="469"/>
      <c r="AI36" s="469"/>
      <c r="AJ36" s="469"/>
      <c r="AK36" s="472"/>
    </row>
    <row r="37" spans="1:37" s="211" customFormat="1" ht="45" customHeight="1" x14ac:dyDescent="0.25">
      <c r="A37" s="631" t="s">
        <v>250</v>
      </c>
      <c r="B37" s="682" t="s">
        <v>224</v>
      </c>
      <c r="C37" s="679" t="s">
        <v>161</v>
      </c>
      <c r="D37" s="294" t="s">
        <v>135</v>
      </c>
      <c r="E37" s="294">
        <v>1</v>
      </c>
      <c r="F37" s="294" t="s">
        <v>5</v>
      </c>
      <c r="G37" s="294"/>
      <c r="H37" s="294" t="s">
        <v>136</v>
      </c>
      <c r="I37" s="294" t="s">
        <v>137</v>
      </c>
      <c r="J37" s="294">
        <v>87106</v>
      </c>
      <c r="K37" s="294" t="s">
        <v>204</v>
      </c>
      <c r="L37" s="333">
        <v>45998766</v>
      </c>
      <c r="M37" s="294">
        <v>1</v>
      </c>
      <c r="N37" s="294">
        <v>1</v>
      </c>
      <c r="O37" s="297">
        <v>5</v>
      </c>
      <c r="P37" s="295">
        <v>3.5</v>
      </c>
      <c r="Q37" s="296" t="s">
        <v>199</v>
      </c>
      <c r="R37" s="294" t="s">
        <v>132</v>
      </c>
      <c r="S37" s="294" t="s">
        <v>133</v>
      </c>
      <c r="T37" s="297" t="s">
        <v>13</v>
      </c>
      <c r="U37" s="294"/>
      <c r="V37" s="294"/>
      <c r="W37" s="294"/>
      <c r="X37" s="294"/>
      <c r="Y37" s="294"/>
      <c r="Z37" s="294"/>
      <c r="AA37" s="294"/>
      <c r="AB37" s="295">
        <v>0.5</v>
      </c>
      <c r="AC37" s="294"/>
      <c r="AD37" s="294"/>
      <c r="AE37" s="294"/>
      <c r="AF37" s="294"/>
      <c r="AG37" s="314" t="s">
        <v>119</v>
      </c>
      <c r="AH37" s="372">
        <v>0.5</v>
      </c>
      <c r="AI37" s="294"/>
      <c r="AJ37" s="297" t="s">
        <v>139</v>
      </c>
      <c r="AK37" s="299">
        <v>20323</v>
      </c>
    </row>
    <row r="38" spans="1:37" s="211" customFormat="1" ht="45" customHeight="1" thickBot="1" x14ac:dyDescent="0.3">
      <c r="A38" s="632"/>
      <c r="B38" s="683"/>
      <c r="C38" s="681"/>
      <c r="D38" s="300" t="s">
        <v>135</v>
      </c>
      <c r="E38" s="300">
        <v>1</v>
      </c>
      <c r="F38" s="300" t="s">
        <v>5</v>
      </c>
      <c r="G38" s="300"/>
      <c r="H38" s="300" t="s">
        <v>136</v>
      </c>
      <c r="I38" s="300" t="s">
        <v>137</v>
      </c>
      <c r="J38" s="300">
        <v>87106</v>
      </c>
      <c r="K38" s="300" t="s">
        <v>204</v>
      </c>
      <c r="L38" s="334">
        <v>45998766</v>
      </c>
      <c r="M38" s="300">
        <v>2</v>
      </c>
      <c r="N38" s="300">
        <v>1</v>
      </c>
      <c r="O38" s="300">
        <v>2</v>
      </c>
      <c r="P38" s="304">
        <v>4</v>
      </c>
      <c r="Q38" s="302" t="s">
        <v>199</v>
      </c>
      <c r="R38" s="300" t="s">
        <v>132</v>
      </c>
      <c r="S38" s="300" t="s">
        <v>133</v>
      </c>
      <c r="T38" s="365" t="s">
        <v>8</v>
      </c>
      <c r="U38" s="300"/>
      <c r="V38" s="300"/>
      <c r="W38" s="300"/>
      <c r="X38" s="300"/>
      <c r="Y38" s="300"/>
      <c r="Z38" s="300"/>
      <c r="AA38" s="300"/>
      <c r="AB38" s="304"/>
      <c r="AC38" s="300"/>
      <c r="AD38" s="300"/>
      <c r="AE38" s="300"/>
      <c r="AF38" s="300"/>
      <c r="AG38" s="314" t="s">
        <v>119</v>
      </c>
      <c r="AH38" s="372">
        <v>0.5</v>
      </c>
      <c r="AI38" s="300"/>
      <c r="AJ38" s="366" t="s">
        <v>139</v>
      </c>
      <c r="AK38" s="307"/>
    </row>
    <row r="39" spans="1:37" s="211" customFormat="1" ht="14.25" customHeight="1" thickBot="1" x14ac:dyDescent="0.3">
      <c r="A39" s="490"/>
      <c r="B39" s="467"/>
      <c r="C39" s="468"/>
      <c r="D39" s="469"/>
      <c r="E39" s="469"/>
      <c r="F39" s="469"/>
      <c r="G39" s="469"/>
      <c r="H39" s="469"/>
      <c r="I39" s="469"/>
      <c r="J39" s="469"/>
      <c r="K39" s="469"/>
      <c r="L39" s="469"/>
      <c r="M39" s="469"/>
      <c r="N39" s="469"/>
      <c r="O39" s="469"/>
      <c r="P39" s="470"/>
      <c r="Q39" s="471"/>
      <c r="R39" s="469"/>
      <c r="S39" s="469"/>
      <c r="T39" s="469"/>
      <c r="U39" s="469"/>
      <c r="V39" s="469"/>
      <c r="W39" s="469"/>
      <c r="X39" s="469"/>
      <c r="Y39" s="469"/>
      <c r="Z39" s="469"/>
      <c r="AA39" s="469"/>
      <c r="AB39" s="470"/>
      <c r="AC39" s="469"/>
      <c r="AD39" s="469"/>
      <c r="AE39" s="469"/>
      <c r="AF39" s="469"/>
      <c r="AG39" s="469"/>
      <c r="AH39" s="469"/>
      <c r="AI39" s="469"/>
      <c r="AJ39" s="469"/>
      <c r="AK39" s="472"/>
    </row>
    <row r="40" spans="1:37" s="211" customFormat="1" ht="59.25" customHeight="1" thickBot="1" x14ac:dyDescent="0.3">
      <c r="A40" s="484" t="s">
        <v>251</v>
      </c>
      <c r="B40" s="485" t="s">
        <v>203</v>
      </c>
      <c r="C40" s="396" t="s">
        <v>164</v>
      </c>
      <c r="D40" s="459" t="s">
        <v>135</v>
      </c>
      <c r="E40" s="459">
        <v>1</v>
      </c>
      <c r="F40" s="459" t="s">
        <v>5</v>
      </c>
      <c r="G40" s="459"/>
      <c r="H40" s="459" t="s">
        <v>136</v>
      </c>
      <c r="I40" s="459" t="s">
        <v>137</v>
      </c>
      <c r="J40" s="459">
        <v>87106</v>
      </c>
      <c r="K40" s="459" t="s">
        <v>204</v>
      </c>
      <c r="L40" s="460">
        <v>45998766</v>
      </c>
      <c r="M40" s="459">
        <v>1</v>
      </c>
      <c r="N40" s="459">
        <v>1</v>
      </c>
      <c r="O40" s="486">
        <v>7</v>
      </c>
      <c r="P40" s="487">
        <v>3.64</v>
      </c>
      <c r="Q40" s="463" t="s">
        <v>199</v>
      </c>
      <c r="R40" s="459" t="s">
        <v>132</v>
      </c>
      <c r="S40" s="459" t="s">
        <v>133</v>
      </c>
      <c r="T40" s="464" t="s">
        <v>13</v>
      </c>
      <c r="U40" s="459"/>
      <c r="V40" s="459"/>
      <c r="W40" s="459"/>
      <c r="X40" s="459"/>
      <c r="Y40" s="459"/>
      <c r="Z40" s="459"/>
      <c r="AA40" s="459"/>
      <c r="AB40" s="487">
        <v>0.36</v>
      </c>
      <c r="AC40" s="459"/>
      <c r="AD40" s="459"/>
      <c r="AE40" s="459"/>
      <c r="AF40" s="459"/>
      <c r="AG40" s="488" t="s">
        <v>119</v>
      </c>
      <c r="AH40" s="489">
        <v>0.5</v>
      </c>
      <c r="AI40" s="459"/>
      <c r="AJ40" s="464" t="s">
        <v>139</v>
      </c>
      <c r="AK40" s="456">
        <v>20323</v>
      </c>
    </row>
    <row r="41" spans="1:37" s="211" customFormat="1" ht="14.25" customHeight="1" thickBot="1" x14ac:dyDescent="0.3">
      <c r="A41" s="490"/>
      <c r="B41" s="467"/>
      <c r="C41" s="468"/>
      <c r="D41" s="469"/>
      <c r="E41" s="469"/>
      <c r="F41" s="469"/>
      <c r="G41" s="469"/>
      <c r="H41" s="469"/>
      <c r="I41" s="469"/>
      <c r="J41" s="469"/>
      <c r="K41" s="469"/>
      <c r="L41" s="469"/>
      <c r="M41" s="469"/>
      <c r="N41" s="469"/>
      <c r="O41" s="469"/>
      <c r="P41" s="470"/>
      <c r="Q41" s="471"/>
      <c r="R41" s="469"/>
      <c r="S41" s="469"/>
      <c r="T41" s="469"/>
      <c r="U41" s="469"/>
      <c r="V41" s="469"/>
      <c r="W41" s="469"/>
      <c r="X41" s="469"/>
      <c r="Y41" s="469"/>
      <c r="Z41" s="469"/>
      <c r="AA41" s="469"/>
      <c r="AB41" s="470"/>
      <c r="AC41" s="469"/>
      <c r="AD41" s="469"/>
      <c r="AE41" s="469"/>
      <c r="AF41" s="469"/>
      <c r="AG41" s="469"/>
      <c r="AH41" s="469"/>
      <c r="AI41" s="469"/>
      <c r="AJ41" s="469"/>
      <c r="AK41" s="472"/>
    </row>
    <row r="42" spans="1:37" ht="25.5" customHeight="1" thickBot="1" x14ac:dyDescent="0.35"/>
    <row r="43" spans="1:37" s="213" customFormat="1" ht="39" customHeight="1" thickBot="1" x14ac:dyDescent="0.3">
      <c r="A43" s="479"/>
      <c r="B43" s="684" t="s">
        <v>157</v>
      </c>
      <c r="C43" s="684"/>
      <c r="D43" s="480" t="s">
        <v>135</v>
      </c>
      <c r="E43" s="480">
        <v>1</v>
      </c>
      <c r="F43" s="480" t="s">
        <v>5</v>
      </c>
      <c r="G43" s="480"/>
      <c r="H43" s="480" t="s">
        <v>136</v>
      </c>
      <c r="I43" s="480" t="s">
        <v>137</v>
      </c>
      <c r="J43" s="480">
        <v>87106</v>
      </c>
      <c r="K43" s="480" t="s">
        <v>140</v>
      </c>
      <c r="L43" s="480">
        <v>459012345</v>
      </c>
      <c r="M43" s="480">
        <v>2</v>
      </c>
      <c r="N43" s="480">
        <v>1</v>
      </c>
      <c r="O43" s="480">
        <v>1</v>
      </c>
      <c r="P43" s="481">
        <v>20</v>
      </c>
      <c r="Q43" s="482" t="s">
        <v>205</v>
      </c>
      <c r="R43" s="480" t="s">
        <v>132</v>
      </c>
      <c r="S43" s="480" t="s">
        <v>141</v>
      </c>
      <c r="T43" s="480"/>
      <c r="U43" s="480"/>
      <c r="V43" s="480"/>
      <c r="W43" s="481"/>
      <c r="X43" s="480"/>
      <c r="Y43" s="481"/>
      <c r="Z43" s="481"/>
      <c r="AA43" s="480"/>
      <c r="AB43" s="481"/>
      <c r="AC43" s="480"/>
      <c r="AD43" s="480"/>
      <c r="AE43" s="481"/>
      <c r="AF43" s="480"/>
      <c r="AG43" s="480" t="s">
        <v>119</v>
      </c>
      <c r="AH43" s="481">
        <v>2.5</v>
      </c>
      <c r="AI43" s="480"/>
      <c r="AJ43" s="480"/>
      <c r="AK43" s="483"/>
    </row>
    <row r="44" spans="1:37" s="211" customFormat="1" ht="13.5" customHeight="1" thickBot="1" x14ac:dyDescent="0.3">
      <c r="A44" s="473"/>
      <c r="B44" s="474"/>
      <c r="C44" s="474"/>
      <c r="D44" s="475"/>
      <c r="E44" s="475"/>
      <c r="F44" s="475"/>
      <c r="G44" s="475"/>
      <c r="H44" s="475"/>
      <c r="I44" s="475"/>
      <c r="J44" s="475"/>
      <c r="K44" s="475"/>
      <c r="L44" s="475"/>
      <c r="M44" s="475"/>
      <c r="N44" s="475"/>
      <c r="O44" s="475"/>
      <c r="P44" s="476"/>
      <c r="Q44" s="477"/>
      <c r="R44" s="475"/>
      <c r="S44" s="475"/>
      <c r="T44" s="475"/>
      <c r="U44" s="475"/>
      <c r="V44" s="475"/>
      <c r="W44" s="476"/>
      <c r="X44" s="475"/>
      <c r="Y44" s="476"/>
      <c r="Z44" s="476"/>
      <c r="AA44" s="475"/>
      <c r="AB44" s="476"/>
      <c r="AC44" s="475"/>
      <c r="AD44" s="475"/>
      <c r="AE44" s="476"/>
      <c r="AF44" s="475"/>
      <c r="AG44" s="475"/>
      <c r="AH44" s="476"/>
      <c r="AI44" s="475"/>
      <c r="AJ44" s="475"/>
      <c r="AK44" s="478"/>
    </row>
    <row r="45" spans="1:37" s="211" customFormat="1" ht="65.25" customHeight="1" thickBot="1" x14ac:dyDescent="0.3">
      <c r="A45" s="280" t="s">
        <v>252</v>
      </c>
      <c r="B45" s="281" t="s">
        <v>225</v>
      </c>
      <c r="C45" s="282" t="s">
        <v>159</v>
      </c>
      <c r="D45" s="283" t="s">
        <v>135</v>
      </c>
      <c r="E45" s="283">
        <v>1</v>
      </c>
      <c r="F45" s="283" t="s">
        <v>5</v>
      </c>
      <c r="G45" s="283"/>
      <c r="H45" s="283" t="s">
        <v>136</v>
      </c>
      <c r="I45" s="283" t="s">
        <v>137</v>
      </c>
      <c r="J45" s="283">
        <v>87106</v>
      </c>
      <c r="K45" s="283" t="s">
        <v>145</v>
      </c>
      <c r="L45" s="284">
        <v>459098765</v>
      </c>
      <c r="M45" s="283">
        <v>1</v>
      </c>
      <c r="N45" s="283">
        <v>1</v>
      </c>
      <c r="O45" s="283">
        <v>1</v>
      </c>
      <c r="P45" s="285">
        <v>17.5</v>
      </c>
      <c r="Q45" s="286" t="s">
        <v>205</v>
      </c>
      <c r="R45" s="283" t="s">
        <v>132</v>
      </c>
      <c r="S45" s="283" t="s">
        <v>141</v>
      </c>
      <c r="T45" s="287" t="s">
        <v>13</v>
      </c>
      <c r="U45" s="283"/>
      <c r="V45" s="283"/>
      <c r="W45" s="288"/>
      <c r="X45" s="283"/>
      <c r="Y45" s="288"/>
      <c r="Z45" s="288"/>
      <c r="AA45" s="283"/>
      <c r="AB45" s="285">
        <v>2.5</v>
      </c>
      <c r="AC45" s="283"/>
      <c r="AD45" s="283"/>
      <c r="AE45" s="288"/>
      <c r="AF45" s="283"/>
      <c r="AG45" s="359" t="s">
        <v>119</v>
      </c>
      <c r="AH45" s="374">
        <v>2.5</v>
      </c>
      <c r="AI45" s="283"/>
      <c r="AJ45" s="287" t="s">
        <v>139</v>
      </c>
      <c r="AK45" s="289">
        <v>20323</v>
      </c>
    </row>
    <row r="46" spans="1:37" s="211" customFormat="1" ht="13.5" customHeight="1" thickBot="1" x14ac:dyDescent="0.3">
      <c r="A46" s="685"/>
      <c r="B46" s="686"/>
      <c r="C46" s="686"/>
      <c r="D46" s="686"/>
      <c r="E46" s="686"/>
      <c r="F46" s="686"/>
      <c r="G46" s="686"/>
      <c r="H46" s="686"/>
      <c r="I46" s="686"/>
      <c r="J46" s="686"/>
      <c r="K46" s="686"/>
      <c r="L46" s="686"/>
      <c r="M46" s="686"/>
      <c r="N46" s="686"/>
      <c r="O46" s="686"/>
      <c r="P46" s="686"/>
      <c r="Q46" s="686"/>
      <c r="R46" s="686"/>
      <c r="S46" s="686"/>
      <c r="T46" s="686"/>
      <c r="U46" s="686"/>
      <c r="V46" s="686"/>
      <c r="W46" s="686"/>
      <c r="X46" s="686"/>
      <c r="Y46" s="686"/>
      <c r="Z46" s="686"/>
      <c r="AA46" s="686"/>
      <c r="AB46" s="686"/>
      <c r="AC46" s="686"/>
      <c r="AD46" s="686"/>
      <c r="AE46" s="686"/>
      <c r="AF46" s="686"/>
      <c r="AG46" s="686"/>
      <c r="AH46" s="686"/>
      <c r="AI46" s="686"/>
      <c r="AJ46" s="686"/>
      <c r="AK46" s="687"/>
    </row>
    <row r="47" spans="1:37" s="220" customFormat="1" ht="13.5" customHeight="1" x14ac:dyDescent="0.25"/>
    <row r="48" spans="1:37" s="262" customFormat="1" ht="24.75" customHeight="1" x14ac:dyDescent="0.25">
      <c r="A48" s="645" t="s">
        <v>202</v>
      </c>
      <c r="B48" s="646"/>
      <c r="C48" s="646"/>
      <c r="D48" s="646"/>
      <c r="E48" s="646"/>
      <c r="F48" s="646"/>
      <c r="G48" s="646"/>
      <c r="H48" s="646"/>
      <c r="I48" s="646"/>
      <c r="J48" s="646"/>
      <c r="K48" s="646"/>
      <c r="L48" s="646"/>
      <c r="M48" s="646"/>
      <c r="N48" s="646"/>
      <c r="O48" s="646"/>
      <c r="P48" s="646"/>
      <c r="Q48" s="646"/>
      <c r="R48" s="646"/>
      <c r="S48" s="646"/>
      <c r="T48" s="646"/>
      <c r="U48" s="646"/>
      <c r="V48" s="646"/>
      <c r="W48" s="646"/>
      <c r="X48" s="646"/>
      <c r="Y48" s="646"/>
      <c r="Z48" s="646"/>
      <c r="AA48" s="646"/>
      <c r="AB48" s="646"/>
      <c r="AC48" s="646"/>
      <c r="AD48" s="646"/>
      <c r="AE48" s="646"/>
    </row>
    <row r="49" spans="1:37" s="211" customFormat="1" ht="14.25" customHeight="1" thickBot="1" x14ac:dyDescent="0.3">
      <c r="A49" s="355"/>
      <c r="B49" s="246"/>
      <c r="C49" s="320"/>
      <c r="D49" s="321"/>
      <c r="E49" s="321"/>
      <c r="F49" s="321"/>
      <c r="G49" s="321"/>
      <c r="H49" s="321"/>
      <c r="I49" s="321"/>
      <c r="J49" s="321"/>
      <c r="K49" s="321"/>
      <c r="L49" s="321"/>
      <c r="M49" s="321"/>
      <c r="N49" s="321"/>
      <c r="O49" s="321"/>
      <c r="P49" s="322"/>
      <c r="Q49" s="323"/>
      <c r="R49" s="321"/>
      <c r="S49" s="321"/>
      <c r="T49" s="321"/>
      <c r="U49" s="321"/>
      <c r="V49" s="321"/>
      <c r="W49" s="321"/>
      <c r="X49" s="321"/>
      <c r="Y49" s="321"/>
      <c r="Z49" s="321"/>
      <c r="AA49" s="321"/>
      <c r="AB49" s="322"/>
      <c r="AC49" s="321"/>
      <c r="AD49" s="321"/>
      <c r="AE49" s="321"/>
      <c r="AF49" s="321"/>
      <c r="AG49" s="321"/>
      <c r="AH49" s="321"/>
      <c r="AI49" s="321"/>
      <c r="AJ49" s="321"/>
      <c r="AK49" s="324"/>
    </row>
    <row r="50" spans="1:37" s="211" customFormat="1" ht="60" customHeight="1" x14ac:dyDescent="0.25">
      <c r="A50" s="631" t="s">
        <v>253</v>
      </c>
      <c r="B50" s="682" t="s">
        <v>226</v>
      </c>
      <c r="C50" s="679" t="s">
        <v>161</v>
      </c>
      <c r="D50" s="294" t="s">
        <v>135</v>
      </c>
      <c r="E50" s="294">
        <v>1</v>
      </c>
      <c r="F50" s="294" t="s">
        <v>5</v>
      </c>
      <c r="G50" s="294"/>
      <c r="H50" s="294" t="s">
        <v>136</v>
      </c>
      <c r="I50" s="294" t="s">
        <v>137</v>
      </c>
      <c r="J50" s="294">
        <v>87106</v>
      </c>
      <c r="K50" s="294" t="s">
        <v>204</v>
      </c>
      <c r="L50" s="333">
        <v>45998766</v>
      </c>
      <c r="M50" s="294">
        <v>1</v>
      </c>
      <c r="N50" s="294">
        <v>1</v>
      </c>
      <c r="O50" s="297">
        <v>1</v>
      </c>
      <c r="P50" s="295">
        <v>17.5</v>
      </c>
      <c r="Q50" s="296" t="s">
        <v>205</v>
      </c>
      <c r="R50" s="294" t="s">
        <v>132</v>
      </c>
      <c r="S50" s="294" t="s">
        <v>141</v>
      </c>
      <c r="T50" s="297" t="s">
        <v>13</v>
      </c>
      <c r="U50" s="294"/>
      <c r="V50" s="294"/>
      <c r="W50" s="294"/>
      <c r="X50" s="294"/>
      <c r="Y50" s="294"/>
      <c r="Z50" s="294"/>
      <c r="AA50" s="294"/>
      <c r="AB50" s="295">
        <v>2.5</v>
      </c>
      <c r="AC50" s="294"/>
      <c r="AD50" s="294"/>
      <c r="AE50" s="294"/>
      <c r="AF50" s="294"/>
      <c r="AG50" s="363" t="s">
        <v>119</v>
      </c>
      <c r="AH50" s="375">
        <v>2.5</v>
      </c>
      <c r="AI50" s="294"/>
      <c r="AJ50" s="297" t="s">
        <v>139</v>
      </c>
      <c r="AK50" s="299">
        <v>20323</v>
      </c>
    </row>
    <row r="51" spans="1:37" s="211" customFormat="1" ht="60" customHeight="1" thickBot="1" x14ac:dyDescent="0.3">
      <c r="A51" s="632"/>
      <c r="B51" s="683"/>
      <c r="C51" s="681"/>
      <c r="D51" s="300" t="s">
        <v>135</v>
      </c>
      <c r="E51" s="300">
        <v>1</v>
      </c>
      <c r="F51" s="300" t="s">
        <v>5</v>
      </c>
      <c r="G51" s="300"/>
      <c r="H51" s="300" t="s">
        <v>136</v>
      </c>
      <c r="I51" s="300" t="s">
        <v>137</v>
      </c>
      <c r="J51" s="300">
        <v>87106</v>
      </c>
      <c r="K51" s="300" t="s">
        <v>204</v>
      </c>
      <c r="L51" s="334">
        <v>45998766</v>
      </c>
      <c r="M51" s="300">
        <v>2</v>
      </c>
      <c r="N51" s="300">
        <v>1</v>
      </c>
      <c r="O51" s="300">
        <v>1</v>
      </c>
      <c r="P51" s="304">
        <v>20</v>
      </c>
      <c r="Q51" s="302" t="s">
        <v>205</v>
      </c>
      <c r="R51" s="300" t="s">
        <v>132</v>
      </c>
      <c r="S51" s="300" t="s">
        <v>141</v>
      </c>
      <c r="T51" s="365" t="s">
        <v>8</v>
      </c>
      <c r="U51" s="300"/>
      <c r="V51" s="300"/>
      <c r="W51" s="300"/>
      <c r="X51" s="300"/>
      <c r="Y51" s="300"/>
      <c r="Z51" s="300"/>
      <c r="AA51" s="300"/>
      <c r="AB51" s="304"/>
      <c r="AC51" s="300"/>
      <c r="AD51" s="300"/>
      <c r="AE51" s="300"/>
      <c r="AF51" s="300"/>
      <c r="AG51" s="364" t="s">
        <v>119</v>
      </c>
      <c r="AH51" s="376">
        <v>2.5</v>
      </c>
      <c r="AI51" s="300"/>
      <c r="AJ51" s="366" t="s">
        <v>139</v>
      </c>
      <c r="AK51" s="307"/>
    </row>
    <row r="52" spans="1:37" s="211" customFormat="1" ht="14.25" customHeight="1" thickBot="1" x14ac:dyDescent="0.3">
      <c r="A52" s="362"/>
      <c r="B52" s="327"/>
      <c r="C52" s="328"/>
      <c r="D52" s="329"/>
      <c r="E52" s="329"/>
      <c r="F52" s="329"/>
      <c r="G52" s="329"/>
      <c r="H52" s="329"/>
      <c r="I52" s="329"/>
      <c r="J52" s="329"/>
      <c r="K52" s="329"/>
      <c r="L52" s="329"/>
      <c r="M52" s="329"/>
      <c r="N52" s="329"/>
      <c r="O52" s="329"/>
      <c r="P52" s="330"/>
      <c r="Q52" s="331"/>
      <c r="R52" s="329"/>
      <c r="S52" s="329"/>
      <c r="T52" s="329"/>
      <c r="U52" s="329"/>
      <c r="V52" s="329"/>
      <c r="W52" s="329"/>
      <c r="X52" s="329"/>
      <c r="Y52" s="329"/>
      <c r="Z52" s="329"/>
      <c r="AA52" s="329"/>
      <c r="AB52" s="330"/>
      <c r="AC52" s="329"/>
      <c r="AD52" s="329"/>
      <c r="AE52" s="329"/>
      <c r="AF52" s="329"/>
      <c r="AG52" s="329"/>
      <c r="AH52" s="329"/>
      <c r="AI52" s="329"/>
      <c r="AJ52" s="329"/>
      <c r="AK52" s="332"/>
    </row>
    <row r="53" spans="1:37" s="211" customFormat="1" ht="59.25" customHeight="1" thickBot="1" x14ac:dyDescent="0.3">
      <c r="A53" s="357" t="s">
        <v>254</v>
      </c>
      <c r="B53" s="358" t="s">
        <v>206</v>
      </c>
      <c r="C53" s="282" t="s">
        <v>164</v>
      </c>
      <c r="D53" s="283" t="s">
        <v>135</v>
      </c>
      <c r="E53" s="283">
        <v>1</v>
      </c>
      <c r="F53" s="283" t="s">
        <v>5</v>
      </c>
      <c r="G53" s="283"/>
      <c r="H53" s="283" t="s">
        <v>136</v>
      </c>
      <c r="I53" s="283" t="s">
        <v>137</v>
      </c>
      <c r="J53" s="283">
        <v>87106</v>
      </c>
      <c r="K53" s="283" t="s">
        <v>204</v>
      </c>
      <c r="L53" s="284">
        <v>45998766</v>
      </c>
      <c r="M53" s="283">
        <v>1</v>
      </c>
      <c r="N53" s="283">
        <v>1</v>
      </c>
      <c r="O53" s="360">
        <v>2</v>
      </c>
      <c r="P53" s="361">
        <v>18.75</v>
      </c>
      <c r="Q53" s="286" t="s">
        <v>205</v>
      </c>
      <c r="R53" s="283" t="s">
        <v>132</v>
      </c>
      <c r="S53" s="283" t="s">
        <v>141</v>
      </c>
      <c r="T53" s="287" t="s">
        <v>13</v>
      </c>
      <c r="U53" s="283"/>
      <c r="V53" s="283"/>
      <c r="W53" s="283"/>
      <c r="X53" s="283"/>
      <c r="Y53" s="283"/>
      <c r="Z53" s="283"/>
      <c r="AA53" s="283"/>
      <c r="AB53" s="361">
        <v>1.25</v>
      </c>
      <c r="AC53" s="283"/>
      <c r="AD53" s="283"/>
      <c r="AE53" s="283"/>
      <c r="AF53" s="283"/>
      <c r="AG53" s="359" t="s">
        <v>119</v>
      </c>
      <c r="AH53" s="374">
        <v>2.5</v>
      </c>
      <c r="AI53" s="283"/>
      <c r="AJ53" s="287" t="s">
        <v>139</v>
      </c>
      <c r="AK53" s="289">
        <v>20323</v>
      </c>
    </row>
    <row r="54" spans="1:37" s="211" customFormat="1" ht="14.25" customHeight="1" x14ac:dyDescent="0.25">
      <c r="A54" s="356"/>
      <c r="B54" s="342"/>
      <c r="C54" s="343"/>
      <c r="D54" s="344"/>
      <c r="E54" s="344"/>
      <c r="F54" s="344"/>
      <c r="G54" s="344"/>
      <c r="H54" s="344"/>
      <c r="I54" s="344"/>
      <c r="J54" s="344"/>
      <c r="K54" s="344"/>
      <c r="L54" s="344"/>
      <c r="M54" s="344"/>
      <c r="N54" s="344"/>
      <c r="O54" s="344"/>
      <c r="P54" s="345"/>
      <c r="Q54" s="346"/>
      <c r="R54" s="344"/>
      <c r="S54" s="344"/>
      <c r="T54" s="344"/>
      <c r="U54" s="344"/>
      <c r="V54" s="344"/>
      <c r="W54" s="344"/>
      <c r="X54" s="344"/>
      <c r="Y54" s="344"/>
      <c r="Z54" s="344"/>
      <c r="AA54" s="344"/>
      <c r="AB54" s="345"/>
      <c r="AC54" s="344"/>
      <c r="AD54" s="344"/>
      <c r="AE54" s="344"/>
      <c r="AF54" s="344"/>
      <c r="AG54" s="344"/>
      <c r="AH54" s="344"/>
      <c r="AI54" s="344"/>
      <c r="AJ54" s="344"/>
      <c r="AK54" s="347"/>
    </row>
    <row r="55" spans="1:37" x14ac:dyDescent="0.3">
      <c r="Q55" s="315"/>
    </row>
    <row r="56" spans="1:37" s="211" customFormat="1" ht="13.5" customHeight="1" thickBot="1" x14ac:dyDescent="0.3">
      <c r="A56" s="316"/>
      <c r="B56" s="246"/>
      <c r="C56" s="246"/>
      <c r="D56" s="321"/>
      <c r="E56" s="321"/>
      <c r="F56" s="321"/>
      <c r="G56" s="321"/>
      <c r="H56" s="321"/>
      <c r="I56" s="321"/>
      <c r="J56" s="321"/>
      <c r="K56" s="321"/>
      <c r="L56" s="321"/>
      <c r="M56" s="321"/>
      <c r="N56" s="321"/>
      <c r="O56" s="321"/>
      <c r="P56" s="322"/>
      <c r="Q56" s="323"/>
      <c r="R56" s="321"/>
      <c r="S56" s="321"/>
      <c r="T56" s="321"/>
      <c r="U56" s="321"/>
      <c r="V56" s="321"/>
      <c r="W56" s="322"/>
      <c r="X56" s="321"/>
      <c r="Y56" s="322"/>
      <c r="Z56" s="322"/>
      <c r="AA56" s="321"/>
      <c r="AB56" s="322"/>
      <c r="AC56" s="321"/>
      <c r="AD56" s="321"/>
      <c r="AE56" s="322"/>
      <c r="AF56" s="321"/>
      <c r="AG56" s="321"/>
      <c r="AH56" s="322"/>
      <c r="AI56" s="321"/>
      <c r="AJ56" s="321"/>
      <c r="AK56" s="321"/>
    </row>
    <row r="57" spans="1:37" s="211" customFormat="1" ht="102" customHeight="1" thickBot="1" x14ac:dyDescent="0.3">
      <c r="A57" s="280" t="s">
        <v>255</v>
      </c>
      <c r="B57" s="281" t="s">
        <v>227</v>
      </c>
      <c r="C57" s="282" t="s">
        <v>159</v>
      </c>
      <c r="D57" s="283" t="s">
        <v>135</v>
      </c>
      <c r="E57" s="283">
        <v>1</v>
      </c>
      <c r="F57" s="283" t="s">
        <v>5</v>
      </c>
      <c r="G57" s="283"/>
      <c r="H57" s="283" t="s">
        <v>136</v>
      </c>
      <c r="I57" s="283" t="s">
        <v>137</v>
      </c>
      <c r="J57" s="283">
        <v>87106</v>
      </c>
      <c r="K57" s="283" t="s">
        <v>138</v>
      </c>
      <c r="L57" s="284">
        <v>459098765</v>
      </c>
      <c r="M57" s="283">
        <v>1</v>
      </c>
      <c r="N57" s="283">
        <v>1</v>
      </c>
      <c r="O57" s="283">
        <v>2</v>
      </c>
      <c r="P57" s="285">
        <v>3</v>
      </c>
      <c r="Q57" s="286" t="s">
        <v>199</v>
      </c>
      <c r="R57" s="283" t="s">
        <v>132</v>
      </c>
      <c r="S57" s="283" t="s">
        <v>133</v>
      </c>
      <c r="T57" s="287" t="s">
        <v>13</v>
      </c>
      <c r="U57" s="283"/>
      <c r="V57" s="283"/>
      <c r="W57" s="288"/>
      <c r="X57" s="283"/>
      <c r="Y57" s="288"/>
      <c r="Z57" s="288"/>
      <c r="AA57" s="283"/>
      <c r="AB57" s="285">
        <v>0.5</v>
      </c>
      <c r="AC57" s="285" t="s">
        <v>13</v>
      </c>
      <c r="AD57" s="339">
        <v>2</v>
      </c>
      <c r="AE57" s="285">
        <v>0.5</v>
      </c>
      <c r="AF57" s="283"/>
      <c r="AG57" s="359" t="s">
        <v>119</v>
      </c>
      <c r="AH57" s="374">
        <v>0.5</v>
      </c>
      <c r="AI57" s="285" t="s">
        <v>207</v>
      </c>
      <c r="AJ57" s="287" t="s">
        <v>139</v>
      </c>
      <c r="AK57" s="289">
        <v>20323</v>
      </c>
    </row>
    <row r="58" spans="1:37" s="211" customFormat="1" ht="13.5" customHeight="1" thickBot="1" x14ac:dyDescent="0.3">
      <c r="A58" s="352"/>
      <c r="B58" s="327"/>
      <c r="C58" s="327"/>
      <c r="D58" s="329"/>
      <c r="E58" s="329"/>
      <c r="F58" s="329"/>
      <c r="G58" s="329"/>
      <c r="H58" s="329"/>
      <c r="I58" s="329"/>
      <c r="J58" s="329"/>
      <c r="K58" s="329"/>
      <c r="L58" s="329"/>
      <c r="M58" s="329"/>
      <c r="N58" s="329"/>
      <c r="O58" s="329"/>
      <c r="P58" s="330"/>
      <c r="Q58" s="331"/>
      <c r="R58" s="329"/>
      <c r="S58" s="329"/>
      <c r="T58" s="329"/>
      <c r="U58" s="329"/>
      <c r="V58" s="329"/>
      <c r="W58" s="330"/>
      <c r="X58" s="329"/>
      <c r="Y58" s="330"/>
      <c r="Z58" s="330"/>
      <c r="AA58" s="329"/>
      <c r="AB58" s="330"/>
      <c r="AC58" s="329"/>
      <c r="AD58" s="329"/>
      <c r="AE58" s="330"/>
      <c r="AF58" s="329"/>
      <c r="AG58" s="329"/>
      <c r="AH58" s="330"/>
      <c r="AI58" s="329"/>
      <c r="AJ58" s="329"/>
      <c r="AK58" s="329"/>
    </row>
    <row r="59" spans="1:37" s="211" customFormat="1" ht="99.75" customHeight="1" thickBot="1" x14ac:dyDescent="0.3">
      <c r="A59" s="280" t="s">
        <v>256</v>
      </c>
      <c r="B59" s="281" t="s">
        <v>228</v>
      </c>
      <c r="C59" s="282" t="s">
        <v>159</v>
      </c>
      <c r="D59" s="283" t="s">
        <v>135</v>
      </c>
      <c r="E59" s="283">
        <v>1</v>
      </c>
      <c r="F59" s="283" t="s">
        <v>5</v>
      </c>
      <c r="G59" s="283"/>
      <c r="H59" s="283" t="s">
        <v>136</v>
      </c>
      <c r="I59" s="283" t="s">
        <v>137</v>
      </c>
      <c r="J59" s="283">
        <v>87106</v>
      </c>
      <c r="K59" s="283" t="s">
        <v>138</v>
      </c>
      <c r="L59" s="284">
        <v>459098765</v>
      </c>
      <c r="M59" s="283">
        <v>1</v>
      </c>
      <c r="N59" s="283">
        <v>1</v>
      </c>
      <c r="O59" s="283">
        <v>3</v>
      </c>
      <c r="P59" s="285">
        <v>3</v>
      </c>
      <c r="Q59" s="286" t="s">
        <v>199</v>
      </c>
      <c r="R59" s="283" t="s">
        <v>132</v>
      </c>
      <c r="S59" s="283" t="s">
        <v>133</v>
      </c>
      <c r="T59" s="287" t="s">
        <v>13</v>
      </c>
      <c r="U59" s="283"/>
      <c r="V59" s="283"/>
      <c r="W59" s="288"/>
      <c r="X59" s="283"/>
      <c r="Y59" s="288"/>
      <c r="Z59" s="288"/>
      <c r="AA59" s="283"/>
      <c r="AB59" s="285">
        <v>0.5</v>
      </c>
      <c r="AC59" s="285" t="s">
        <v>13</v>
      </c>
      <c r="AD59" s="339">
        <v>2</v>
      </c>
      <c r="AE59" s="285">
        <v>0.5</v>
      </c>
      <c r="AF59" s="283"/>
      <c r="AG59" s="359" t="s">
        <v>119</v>
      </c>
      <c r="AH59" s="374">
        <v>0.5</v>
      </c>
      <c r="AI59" s="285" t="s">
        <v>207</v>
      </c>
      <c r="AJ59" s="287" t="s">
        <v>139</v>
      </c>
      <c r="AK59" s="289">
        <v>20323</v>
      </c>
    </row>
    <row r="60" spans="1:37" s="211" customFormat="1" ht="13.5" customHeight="1" thickBot="1" x14ac:dyDescent="0.3">
      <c r="A60" s="352"/>
      <c r="B60" s="327"/>
      <c r="C60" s="327"/>
      <c r="D60" s="329"/>
      <c r="E60" s="329"/>
      <c r="F60" s="329"/>
      <c r="G60" s="329"/>
      <c r="H60" s="329"/>
      <c r="I60" s="329"/>
      <c r="J60" s="329"/>
      <c r="K60" s="329"/>
      <c r="L60" s="329"/>
      <c r="M60" s="329"/>
      <c r="N60" s="329"/>
      <c r="O60" s="329"/>
      <c r="P60" s="330"/>
      <c r="Q60" s="331"/>
      <c r="R60" s="329"/>
      <c r="S60" s="329"/>
      <c r="T60" s="329"/>
      <c r="U60" s="329"/>
      <c r="V60" s="329"/>
      <c r="W60" s="330"/>
      <c r="X60" s="329"/>
      <c r="Y60" s="330"/>
      <c r="Z60" s="330"/>
      <c r="AA60" s="329"/>
      <c r="AB60" s="330"/>
      <c r="AC60" s="329"/>
      <c r="AD60" s="329"/>
      <c r="AE60" s="330"/>
      <c r="AF60" s="329"/>
      <c r="AG60" s="329"/>
      <c r="AH60" s="330"/>
      <c r="AI60" s="329"/>
      <c r="AJ60" s="329"/>
      <c r="AK60" s="329"/>
    </row>
    <row r="61" spans="1:37" s="211" customFormat="1" ht="75.75" customHeight="1" x14ac:dyDescent="0.25">
      <c r="A61" s="671" t="s">
        <v>257</v>
      </c>
      <c r="B61" s="673" t="s">
        <v>229</v>
      </c>
      <c r="C61" s="675" t="s">
        <v>159</v>
      </c>
      <c r="D61" s="294" t="s">
        <v>135</v>
      </c>
      <c r="E61" s="294">
        <v>1</v>
      </c>
      <c r="F61" s="294" t="s">
        <v>5</v>
      </c>
      <c r="G61" s="294"/>
      <c r="H61" s="294" t="s">
        <v>136</v>
      </c>
      <c r="I61" s="294" t="s">
        <v>137</v>
      </c>
      <c r="J61" s="294">
        <v>87106</v>
      </c>
      <c r="K61" s="294" t="s">
        <v>138</v>
      </c>
      <c r="L61" s="333">
        <v>459098765</v>
      </c>
      <c r="M61" s="294">
        <v>1</v>
      </c>
      <c r="N61" s="294">
        <v>1</v>
      </c>
      <c r="O61" s="294">
        <v>2</v>
      </c>
      <c r="P61" s="295">
        <v>3</v>
      </c>
      <c r="Q61" s="296" t="s">
        <v>199</v>
      </c>
      <c r="R61" s="294" t="s">
        <v>132</v>
      </c>
      <c r="S61" s="294" t="s">
        <v>133</v>
      </c>
      <c r="T61" s="297" t="s">
        <v>13</v>
      </c>
      <c r="U61" s="294"/>
      <c r="V61" s="294"/>
      <c r="W61" s="298"/>
      <c r="X61" s="294"/>
      <c r="Y61" s="298"/>
      <c r="Z61" s="298"/>
      <c r="AA61" s="294"/>
      <c r="AB61" s="295">
        <v>0.5</v>
      </c>
      <c r="AC61" s="295" t="s">
        <v>13</v>
      </c>
      <c r="AD61" s="308">
        <v>2</v>
      </c>
      <c r="AE61" s="295">
        <v>0.5</v>
      </c>
      <c r="AF61" s="294"/>
      <c r="AG61" s="363" t="s">
        <v>119</v>
      </c>
      <c r="AH61" s="375">
        <v>0.5</v>
      </c>
      <c r="AI61" s="295" t="s">
        <v>207</v>
      </c>
      <c r="AJ61" s="297" t="s">
        <v>139</v>
      </c>
      <c r="AK61" s="299">
        <v>20323</v>
      </c>
    </row>
    <row r="62" spans="1:37" s="211" customFormat="1" ht="75.75" customHeight="1" thickBot="1" x14ac:dyDescent="0.3">
      <c r="A62" s="672"/>
      <c r="B62" s="674"/>
      <c r="C62" s="676"/>
      <c r="D62" s="300" t="s">
        <v>135</v>
      </c>
      <c r="E62" s="300">
        <v>1</v>
      </c>
      <c r="F62" s="300" t="s">
        <v>5</v>
      </c>
      <c r="G62" s="300"/>
      <c r="H62" s="300" t="s">
        <v>136</v>
      </c>
      <c r="I62" s="300" t="s">
        <v>137</v>
      </c>
      <c r="J62" s="300">
        <v>87106</v>
      </c>
      <c r="K62" s="300" t="s">
        <v>138</v>
      </c>
      <c r="L62" s="334">
        <v>459098765</v>
      </c>
      <c r="M62" s="300">
        <v>2</v>
      </c>
      <c r="N62" s="300">
        <v>1</v>
      </c>
      <c r="O62" s="300">
        <v>1</v>
      </c>
      <c r="P62" s="301">
        <v>3</v>
      </c>
      <c r="Q62" s="302">
        <v>42100005448</v>
      </c>
      <c r="R62" s="300" t="s">
        <v>200</v>
      </c>
      <c r="S62" s="300" t="s">
        <v>133</v>
      </c>
      <c r="T62" s="303" t="s">
        <v>13</v>
      </c>
      <c r="U62" s="300"/>
      <c r="V62" s="300"/>
      <c r="W62" s="304"/>
      <c r="X62" s="300"/>
      <c r="Y62" s="304"/>
      <c r="Z62" s="304"/>
      <c r="AA62" s="300"/>
      <c r="AB62" s="301">
        <v>0.5</v>
      </c>
      <c r="AC62" s="301" t="s">
        <v>13</v>
      </c>
      <c r="AD62" s="309">
        <v>2</v>
      </c>
      <c r="AE62" s="301">
        <v>0.5</v>
      </c>
      <c r="AF62" s="300"/>
      <c r="AG62" s="364" t="s">
        <v>119</v>
      </c>
      <c r="AH62" s="376">
        <v>0.5</v>
      </c>
      <c r="AI62" s="301" t="s">
        <v>207</v>
      </c>
      <c r="AJ62" s="303" t="s">
        <v>139</v>
      </c>
      <c r="AK62" s="310">
        <v>20323</v>
      </c>
    </row>
    <row r="63" spans="1:37" s="211" customFormat="1" ht="13.5" customHeight="1" thickBot="1" x14ac:dyDescent="0.3">
      <c r="A63" s="352"/>
      <c r="B63" s="327"/>
      <c r="C63" s="327"/>
      <c r="D63" s="329"/>
      <c r="E63" s="329"/>
      <c r="F63" s="329"/>
      <c r="G63" s="329"/>
      <c r="H63" s="329"/>
      <c r="I63" s="329"/>
      <c r="J63" s="329"/>
      <c r="K63" s="329"/>
      <c r="L63" s="329"/>
      <c r="M63" s="329"/>
      <c r="N63" s="329"/>
      <c r="O63" s="329"/>
      <c r="P63" s="330"/>
      <c r="Q63" s="331"/>
      <c r="R63" s="329"/>
      <c r="S63" s="329"/>
      <c r="T63" s="329"/>
      <c r="U63" s="329"/>
      <c r="V63" s="329"/>
      <c r="W63" s="330"/>
      <c r="X63" s="329"/>
      <c r="Y63" s="330"/>
      <c r="Z63" s="330"/>
      <c r="AA63" s="329"/>
      <c r="AB63" s="330"/>
      <c r="AC63" s="329"/>
      <c r="AD63" s="329"/>
      <c r="AE63" s="330"/>
      <c r="AF63" s="329"/>
      <c r="AG63" s="329"/>
      <c r="AH63" s="330"/>
      <c r="AI63" s="329"/>
      <c r="AJ63" s="329"/>
      <c r="AK63" s="329"/>
    </row>
    <row r="64" spans="1:37" s="211" customFormat="1" ht="115.5" customHeight="1" thickBot="1" x14ac:dyDescent="0.3">
      <c r="A64" s="280" t="s">
        <v>258</v>
      </c>
      <c r="B64" s="281" t="s">
        <v>230</v>
      </c>
      <c r="C64" s="282" t="s">
        <v>208</v>
      </c>
      <c r="D64" s="283" t="s">
        <v>135</v>
      </c>
      <c r="E64" s="283">
        <v>1</v>
      </c>
      <c r="F64" s="283" t="s">
        <v>5</v>
      </c>
      <c r="G64" s="283"/>
      <c r="H64" s="283" t="s">
        <v>136</v>
      </c>
      <c r="I64" s="283" t="s">
        <v>137</v>
      </c>
      <c r="J64" s="283">
        <v>87106</v>
      </c>
      <c r="K64" s="283" t="s">
        <v>138</v>
      </c>
      <c r="L64" s="284">
        <v>459098765</v>
      </c>
      <c r="M64" s="283">
        <v>1</v>
      </c>
      <c r="N64" s="283">
        <v>1</v>
      </c>
      <c r="O64" s="283">
        <v>5</v>
      </c>
      <c r="P64" s="285">
        <v>2.8</v>
      </c>
      <c r="Q64" s="286" t="s">
        <v>199</v>
      </c>
      <c r="R64" s="283" t="s">
        <v>132</v>
      </c>
      <c r="S64" s="283" t="s">
        <v>133</v>
      </c>
      <c r="T64" s="287" t="s">
        <v>13</v>
      </c>
      <c r="U64" s="283"/>
      <c r="V64" s="283"/>
      <c r="W64" s="288"/>
      <c r="X64" s="283"/>
      <c r="Y64" s="288"/>
      <c r="Z64" s="288"/>
      <c r="AA64" s="287" t="s">
        <v>209</v>
      </c>
      <c r="AB64" s="285">
        <v>0.7</v>
      </c>
      <c r="AC64" s="287" t="s">
        <v>13</v>
      </c>
      <c r="AD64" s="287">
        <v>2</v>
      </c>
      <c r="AE64" s="285">
        <v>0.5</v>
      </c>
      <c r="AF64" s="283"/>
      <c r="AG64" s="359" t="s">
        <v>119</v>
      </c>
      <c r="AH64" s="374">
        <v>0.5</v>
      </c>
      <c r="AI64" s="287" t="s">
        <v>207</v>
      </c>
      <c r="AJ64" s="287" t="s">
        <v>139</v>
      </c>
      <c r="AK64" s="289">
        <v>20323</v>
      </c>
    </row>
    <row r="65" spans="1:37" s="211" customFormat="1" ht="13.5" customHeight="1" thickBot="1" x14ac:dyDescent="0.3">
      <c r="A65" s="352"/>
      <c r="B65" s="327"/>
      <c r="C65" s="327"/>
      <c r="D65" s="329"/>
      <c r="E65" s="329"/>
      <c r="F65" s="329"/>
      <c r="G65" s="329"/>
      <c r="H65" s="329"/>
      <c r="I65" s="329"/>
      <c r="J65" s="329"/>
      <c r="K65" s="329"/>
      <c r="L65" s="329"/>
      <c r="M65" s="329"/>
      <c r="N65" s="329"/>
      <c r="O65" s="329"/>
      <c r="P65" s="330"/>
      <c r="Q65" s="331"/>
      <c r="R65" s="329"/>
      <c r="S65" s="329"/>
      <c r="T65" s="329"/>
      <c r="U65" s="329"/>
      <c r="V65" s="329"/>
      <c r="W65" s="330"/>
      <c r="X65" s="329"/>
      <c r="Y65" s="330"/>
      <c r="Z65" s="330"/>
      <c r="AA65" s="329"/>
      <c r="AB65" s="330"/>
      <c r="AC65" s="329"/>
      <c r="AD65" s="329"/>
      <c r="AE65" s="330"/>
      <c r="AF65" s="329"/>
      <c r="AG65" s="329"/>
      <c r="AH65" s="330"/>
      <c r="AI65" s="329"/>
      <c r="AJ65" s="329"/>
      <c r="AK65" s="329"/>
    </row>
    <row r="66" spans="1:37" s="211" customFormat="1" ht="104.25" customHeight="1" thickBot="1" x14ac:dyDescent="0.3">
      <c r="A66" s="312" t="s">
        <v>259</v>
      </c>
      <c r="B66" s="354" t="s">
        <v>231</v>
      </c>
      <c r="C66" s="291" t="s">
        <v>210</v>
      </c>
      <c r="D66" s="283" t="s">
        <v>135</v>
      </c>
      <c r="E66" s="283">
        <v>1</v>
      </c>
      <c r="F66" s="283" t="s">
        <v>5</v>
      </c>
      <c r="G66" s="283"/>
      <c r="H66" s="283" t="s">
        <v>136</v>
      </c>
      <c r="I66" s="283" t="s">
        <v>137</v>
      </c>
      <c r="J66" s="283">
        <v>87106</v>
      </c>
      <c r="K66" s="283" t="s">
        <v>138</v>
      </c>
      <c r="L66" s="284">
        <v>459098765</v>
      </c>
      <c r="M66" s="283">
        <v>1</v>
      </c>
      <c r="N66" s="283">
        <v>1</v>
      </c>
      <c r="O66" s="283">
        <v>5</v>
      </c>
      <c r="P66" s="292">
        <v>2.9</v>
      </c>
      <c r="Q66" s="286" t="s">
        <v>199</v>
      </c>
      <c r="R66" s="283" t="s">
        <v>132</v>
      </c>
      <c r="S66" s="283" t="s">
        <v>133</v>
      </c>
      <c r="T66" s="287" t="s">
        <v>13</v>
      </c>
      <c r="U66" s="283"/>
      <c r="V66" s="283"/>
      <c r="W66" s="288"/>
      <c r="X66" s="283"/>
      <c r="Y66" s="288"/>
      <c r="Z66" s="288"/>
      <c r="AA66" s="287" t="s">
        <v>209</v>
      </c>
      <c r="AB66" s="285">
        <v>0.7</v>
      </c>
      <c r="AC66" s="293" t="s">
        <v>13</v>
      </c>
      <c r="AD66" s="293">
        <v>2</v>
      </c>
      <c r="AE66" s="292">
        <v>0.4</v>
      </c>
      <c r="AF66" s="283"/>
      <c r="AG66" s="359" t="s">
        <v>119</v>
      </c>
      <c r="AH66" s="374">
        <v>0.5</v>
      </c>
      <c r="AI66" s="293" t="s">
        <v>207</v>
      </c>
      <c r="AJ66" s="287" t="s">
        <v>139</v>
      </c>
      <c r="AK66" s="289">
        <v>20323</v>
      </c>
    </row>
    <row r="67" spans="1:37" s="211" customFormat="1" ht="13.5" customHeight="1" thickBot="1" x14ac:dyDescent="0.3">
      <c r="A67" s="688"/>
      <c r="B67" s="689"/>
      <c r="C67" s="689"/>
      <c r="D67" s="689"/>
      <c r="E67" s="689"/>
      <c r="F67" s="689"/>
      <c r="G67" s="689"/>
      <c r="H67" s="689"/>
      <c r="I67" s="689"/>
      <c r="J67" s="689"/>
      <c r="K67" s="689"/>
      <c r="L67" s="689"/>
      <c r="M67" s="689"/>
      <c r="N67" s="689"/>
      <c r="O67" s="689"/>
      <c r="P67" s="689"/>
      <c r="Q67" s="689"/>
      <c r="R67" s="689"/>
      <c r="S67" s="689"/>
      <c r="T67" s="689"/>
      <c r="U67" s="689"/>
      <c r="V67" s="689"/>
      <c r="W67" s="689"/>
      <c r="X67" s="689"/>
      <c r="Y67" s="689"/>
      <c r="Z67" s="689"/>
      <c r="AA67" s="689"/>
      <c r="AB67" s="689"/>
      <c r="AC67" s="689"/>
      <c r="AD67" s="689"/>
      <c r="AE67" s="689"/>
      <c r="AF67" s="689"/>
      <c r="AG67" s="689"/>
      <c r="AH67" s="689"/>
      <c r="AI67" s="689"/>
      <c r="AJ67" s="689"/>
      <c r="AK67" s="689"/>
    </row>
    <row r="68" spans="1:37" s="211" customFormat="1" ht="66.75" customHeight="1" x14ac:dyDescent="0.25">
      <c r="A68" s="671" t="s">
        <v>261</v>
      </c>
      <c r="B68" s="633" t="s">
        <v>232</v>
      </c>
      <c r="C68" s="679" t="s">
        <v>211</v>
      </c>
      <c r="D68" s="294" t="s">
        <v>135</v>
      </c>
      <c r="E68" s="294">
        <v>1</v>
      </c>
      <c r="F68" s="294" t="s">
        <v>5</v>
      </c>
      <c r="G68" s="294"/>
      <c r="H68" s="294" t="s">
        <v>136</v>
      </c>
      <c r="I68" s="294" t="s">
        <v>137</v>
      </c>
      <c r="J68" s="294">
        <v>87106</v>
      </c>
      <c r="K68" s="294" t="s">
        <v>138</v>
      </c>
      <c r="L68" s="333">
        <v>45998769</v>
      </c>
      <c r="M68" s="294">
        <v>1</v>
      </c>
      <c r="N68" s="294">
        <v>1</v>
      </c>
      <c r="O68" s="294">
        <v>4</v>
      </c>
      <c r="P68" s="295">
        <v>2.75</v>
      </c>
      <c r="Q68" s="296" t="s">
        <v>199</v>
      </c>
      <c r="R68" s="294" t="s">
        <v>132</v>
      </c>
      <c r="S68" s="294" t="s">
        <v>133</v>
      </c>
      <c r="T68" s="297" t="s">
        <v>13</v>
      </c>
      <c r="U68" s="294"/>
      <c r="V68" s="294"/>
      <c r="W68" s="298"/>
      <c r="X68" s="294"/>
      <c r="Y68" s="298"/>
      <c r="Z68" s="298"/>
      <c r="AA68" s="297" t="s">
        <v>209</v>
      </c>
      <c r="AB68" s="295">
        <v>0.75</v>
      </c>
      <c r="AC68" s="297" t="s">
        <v>13</v>
      </c>
      <c r="AD68" s="297">
        <v>2</v>
      </c>
      <c r="AE68" s="295">
        <v>0.5</v>
      </c>
      <c r="AF68" s="294"/>
      <c r="AG68" s="363" t="s">
        <v>119</v>
      </c>
      <c r="AH68" s="375">
        <v>0.5</v>
      </c>
      <c r="AI68" s="297" t="s">
        <v>207</v>
      </c>
      <c r="AJ68" s="297" t="s">
        <v>139</v>
      </c>
      <c r="AK68" s="299">
        <v>20323</v>
      </c>
    </row>
    <row r="69" spans="1:37" s="211" customFormat="1" ht="66.75" customHeight="1" thickBot="1" x14ac:dyDescent="0.3">
      <c r="A69" s="672"/>
      <c r="B69" s="634"/>
      <c r="C69" s="681"/>
      <c r="D69" s="300" t="s">
        <v>135</v>
      </c>
      <c r="E69" s="300">
        <v>1</v>
      </c>
      <c r="F69" s="300" t="s">
        <v>5</v>
      </c>
      <c r="G69" s="300"/>
      <c r="H69" s="300" t="s">
        <v>136</v>
      </c>
      <c r="I69" s="300" t="s">
        <v>137</v>
      </c>
      <c r="J69" s="300">
        <v>87106</v>
      </c>
      <c r="K69" s="300" t="s">
        <v>138</v>
      </c>
      <c r="L69" s="334">
        <v>45998769</v>
      </c>
      <c r="M69" s="300">
        <v>2</v>
      </c>
      <c r="N69" s="300">
        <v>1</v>
      </c>
      <c r="O69" s="300">
        <v>1</v>
      </c>
      <c r="P69" s="301">
        <v>3.5</v>
      </c>
      <c r="Q69" s="302" t="s">
        <v>199</v>
      </c>
      <c r="R69" s="300" t="s">
        <v>132</v>
      </c>
      <c r="S69" s="300" t="s">
        <v>133</v>
      </c>
      <c r="T69" s="303" t="s">
        <v>13</v>
      </c>
      <c r="U69" s="300"/>
      <c r="V69" s="300"/>
      <c r="W69" s="304"/>
      <c r="X69" s="300"/>
      <c r="Y69" s="304"/>
      <c r="Z69" s="304"/>
      <c r="AA69" s="300"/>
      <c r="AB69" s="301">
        <v>0.5</v>
      </c>
      <c r="AC69" s="300"/>
      <c r="AD69" s="300"/>
      <c r="AE69" s="304"/>
      <c r="AF69" s="300"/>
      <c r="AG69" s="364" t="s">
        <v>119</v>
      </c>
      <c r="AH69" s="376">
        <v>0.5</v>
      </c>
      <c r="AI69" s="300"/>
      <c r="AJ69" s="303" t="s">
        <v>139</v>
      </c>
      <c r="AK69" s="310">
        <v>20323</v>
      </c>
    </row>
    <row r="70" spans="1:37" s="211" customFormat="1" ht="13.5" customHeight="1" thickBot="1" x14ac:dyDescent="0.3">
      <c r="A70" s="688"/>
      <c r="B70" s="689"/>
      <c r="C70" s="689"/>
      <c r="D70" s="689"/>
      <c r="E70" s="689"/>
      <c r="F70" s="689"/>
      <c r="G70" s="689"/>
      <c r="H70" s="689"/>
      <c r="I70" s="689"/>
      <c r="J70" s="689"/>
      <c r="K70" s="689"/>
      <c r="L70" s="689"/>
      <c r="M70" s="689"/>
      <c r="N70" s="689"/>
      <c r="O70" s="689"/>
      <c r="P70" s="689"/>
      <c r="Q70" s="689"/>
      <c r="R70" s="689"/>
      <c r="S70" s="689"/>
      <c r="T70" s="689"/>
      <c r="U70" s="689"/>
      <c r="V70" s="689"/>
      <c r="W70" s="689"/>
      <c r="X70" s="689"/>
      <c r="Y70" s="689"/>
      <c r="Z70" s="689"/>
      <c r="AA70" s="689"/>
      <c r="AB70" s="689"/>
      <c r="AC70" s="689"/>
      <c r="AD70" s="689"/>
      <c r="AE70" s="689"/>
      <c r="AF70" s="689"/>
      <c r="AG70" s="689"/>
      <c r="AH70" s="689"/>
      <c r="AI70" s="689"/>
      <c r="AJ70" s="689"/>
      <c r="AK70" s="689"/>
    </row>
    <row r="71" spans="1:37" s="211" customFormat="1" ht="54.75" customHeight="1" x14ac:dyDescent="0.25">
      <c r="A71" s="671" t="s">
        <v>262</v>
      </c>
      <c r="B71" s="633" t="s">
        <v>233</v>
      </c>
      <c r="C71" s="679" t="s">
        <v>211</v>
      </c>
      <c r="D71" s="294" t="s">
        <v>135</v>
      </c>
      <c r="E71" s="294">
        <v>1</v>
      </c>
      <c r="F71" s="294" t="s">
        <v>5</v>
      </c>
      <c r="G71" s="294"/>
      <c r="H71" s="294" t="s">
        <v>136</v>
      </c>
      <c r="I71" s="294" t="s">
        <v>137</v>
      </c>
      <c r="J71" s="294">
        <v>87106</v>
      </c>
      <c r="K71" s="294" t="s">
        <v>138</v>
      </c>
      <c r="L71" s="333">
        <v>45998769</v>
      </c>
      <c r="M71" s="294">
        <v>1</v>
      </c>
      <c r="N71" s="294">
        <v>1</v>
      </c>
      <c r="O71" s="294">
        <v>4</v>
      </c>
      <c r="P71" s="295">
        <v>3</v>
      </c>
      <c r="Q71" s="296" t="s">
        <v>199</v>
      </c>
      <c r="R71" s="294" t="s">
        <v>132</v>
      </c>
      <c r="S71" s="294" t="s">
        <v>133</v>
      </c>
      <c r="T71" s="297" t="s">
        <v>13</v>
      </c>
      <c r="U71" s="294"/>
      <c r="V71" s="294"/>
      <c r="W71" s="298"/>
      <c r="X71" s="294"/>
      <c r="Y71" s="298"/>
      <c r="Z71" s="298"/>
      <c r="AA71" s="294"/>
      <c r="AB71" s="295">
        <v>0.5</v>
      </c>
      <c r="AC71" s="297" t="s">
        <v>13</v>
      </c>
      <c r="AD71" s="297">
        <v>2</v>
      </c>
      <c r="AE71" s="295">
        <v>0.5</v>
      </c>
      <c r="AF71" s="294"/>
      <c r="AG71" s="363" t="s">
        <v>119</v>
      </c>
      <c r="AH71" s="375">
        <v>0.5</v>
      </c>
      <c r="AI71" s="297" t="s">
        <v>207</v>
      </c>
      <c r="AJ71" s="297" t="s">
        <v>139</v>
      </c>
      <c r="AK71" s="299">
        <v>20722</v>
      </c>
    </row>
    <row r="72" spans="1:37" s="211" customFormat="1" ht="54" customHeight="1" thickBot="1" x14ac:dyDescent="0.3">
      <c r="A72" s="672"/>
      <c r="B72" s="634"/>
      <c r="C72" s="681"/>
      <c r="D72" s="300" t="s">
        <v>135</v>
      </c>
      <c r="E72" s="300">
        <v>1</v>
      </c>
      <c r="F72" s="300" t="s">
        <v>5</v>
      </c>
      <c r="G72" s="300"/>
      <c r="H72" s="300" t="s">
        <v>136</v>
      </c>
      <c r="I72" s="300" t="s">
        <v>137</v>
      </c>
      <c r="J72" s="300">
        <v>87106</v>
      </c>
      <c r="K72" s="300" t="s">
        <v>138</v>
      </c>
      <c r="L72" s="334">
        <v>45998769</v>
      </c>
      <c r="M72" s="300">
        <v>2</v>
      </c>
      <c r="N72" s="300">
        <v>1</v>
      </c>
      <c r="O72" s="300">
        <v>1</v>
      </c>
      <c r="P72" s="301">
        <v>2.5</v>
      </c>
      <c r="Q72" s="302" t="s">
        <v>199</v>
      </c>
      <c r="R72" s="300" t="s">
        <v>132</v>
      </c>
      <c r="S72" s="300" t="s">
        <v>133</v>
      </c>
      <c r="T72" s="303" t="s">
        <v>13</v>
      </c>
      <c r="U72" s="300"/>
      <c r="V72" s="300"/>
      <c r="W72" s="304"/>
      <c r="X72" s="300"/>
      <c r="Y72" s="304"/>
      <c r="Z72" s="304"/>
      <c r="AA72" s="303" t="s">
        <v>209</v>
      </c>
      <c r="AB72" s="301">
        <v>1.5</v>
      </c>
      <c r="AC72" s="300"/>
      <c r="AD72" s="300"/>
      <c r="AE72" s="304"/>
      <c r="AF72" s="300"/>
      <c r="AG72" s="364" t="s">
        <v>119</v>
      </c>
      <c r="AH72" s="376">
        <v>0.5</v>
      </c>
      <c r="AI72" s="300"/>
      <c r="AJ72" s="303" t="s">
        <v>139</v>
      </c>
      <c r="AK72" s="310">
        <v>20722</v>
      </c>
    </row>
    <row r="73" spans="1:37" s="211" customFormat="1" ht="13.5" customHeight="1" thickBot="1" x14ac:dyDescent="0.3">
      <c r="A73" s="352"/>
      <c r="B73" s="353"/>
      <c r="C73" s="353"/>
      <c r="D73" s="353"/>
      <c r="E73" s="353"/>
      <c r="F73" s="353"/>
      <c r="G73" s="353"/>
      <c r="H73" s="353"/>
      <c r="I73" s="353"/>
      <c r="J73" s="353"/>
      <c r="K73" s="353"/>
      <c r="L73" s="353"/>
      <c r="M73" s="353"/>
      <c r="N73" s="353"/>
      <c r="O73" s="353"/>
      <c r="P73" s="353"/>
      <c r="Q73" s="353"/>
      <c r="R73" s="353"/>
      <c r="S73" s="353"/>
      <c r="T73" s="353"/>
      <c r="U73" s="353"/>
      <c r="V73" s="353"/>
      <c r="W73" s="353"/>
      <c r="X73" s="353"/>
      <c r="Y73" s="353"/>
      <c r="Z73" s="353"/>
      <c r="AA73" s="353"/>
      <c r="AB73" s="353"/>
      <c r="AC73" s="353"/>
      <c r="AD73" s="353"/>
      <c r="AE73" s="353"/>
      <c r="AF73" s="353"/>
      <c r="AG73" s="353"/>
      <c r="AH73" s="353"/>
      <c r="AI73" s="353"/>
      <c r="AJ73" s="353"/>
      <c r="AK73" s="353"/>
    </row>
    <row r="74" spans="1:37" s="211" customFormat="1" ht="39" customHeight="1" x14ac:dyDescent="0.25">
      <c r="A74" s="671" t="s">
        <v>263</v>
      </c>
      <c r="B74" s="633" t="s">
        <v>234</v>
      </c>
      <c r="C74" s="679" t="s">
        <v>212</v>
      </c>
      <c r="D74" s="294" t="s">
        <v>135</v>
      </c>
      <c r="E74" s="294">
        <v>1</v>
      </c>
      <c r="F74" s="294" t="s">
        <v>5</v>
      </c>
      <c r="G74" s="294"/>
      <c r="H74" s="294" t="s">
        <v>136</v>
      </c>
      <c r="I74" s="294" t="s">
        <v>137</v>
      </c>
      <c r="J74" s="294">
        <v>87106</v>
      </c>
      <c r="K74" s="294" t="s">
        <v>138</v>
      </c>
      <c r="L74" s="333">
        <v>45998769</v>
      </c>
      <c r="M74" s="294">
        <v>1</v>
      </c>
      <c r="N74" s="294">
        <v>1</v>
      </c>
      <c r="O74" s="294">
        <v>1</v>
      </c>
      <c r="P74" s="295">
        <v>2</v>
      </c>
      <c r="Q74" s="296" t="s">
        <v>199</v>
      </c>
      <c r="R74" s="294" t="s">
        <v>132</v>
      </c>
      <c r="S74" s="294" t="s">
        <v>133</v>
      </c>
      <c r="T74" s="297" t="s">
        <v>13</v>
      </c>
      <c r="U74" s="294"/>
      <c r="V74" s="294"/>
      <c r="W74" s="298"/>
      <c r="X74" s="294"/>
      <c r="Y74" s="298"/>
      <c r="Z74" s="298"/>
      <c r="AA74" s="297" t="s">
        <v>209</v>
      </c>
      <c r="AB74" s="295">
        <v>1.5</v>
      </c>
      <c r="AC74" s="297" t="s">
        <v>13</v>
      </c>
      <c r="AD74" s="297">
        <v>2</v>
      </c>
      <c r="AE74" s="295">
        <v>0.5</v>
      </c>
      <c r="AF74" s="294"/>
      <c r="AG74" s="363" t="s">
        <v>119</v>
      </c>
      <c r="AH74" s="375">
        <v>0.5</v>
      </c>
      <c r="AI74" s="297" t="s">
        <v>207</v>
      </c>
      <c r="AJ74" s="297" t="s">
        <v>139</v>
      </c>
      <c r="AK74" s="299">
        <v>20323</v>
      </c>
    </row>
    <row r="75" spans="1:37" s="211" customFormat="1" ht="39" customHeight="1" x14ac:dyDescent="0.25">
      <c r="A75" s="677"/>
      <c r="B75" s="678"/>
      <c r="C75" s="680"/>
      <c r="D75" s="253" t="s">
        <v>135</v>
      </c>
      <c r="E75" s="253">
        <v>1</v>
      </c>
      <c r="F75" s="253" t="s">
        <v>5</v>
      </c>
      <c r="G75" s="253"/>
      <c r="H75" s="253" t="s">
        <v>136</v>
      </c>
      <c r="I75" s="253" t="s">
        <v>137</v>
      </c>
      <c r="J75" s="253">
        <v>87106</v>
      </c>
      <c r="K75" s="253" t="s">
        <v>138</v>
      </c>
      <c r="L75" s="254">
        <v>45998769</v>
      </c>
      <c r="M75" s="253">
        <v>2</v>
      </c>
      <c r="N75" s="253">
        <v>1</v>
      </c>
      <c r="O75" s="253">
        <v>1</v>
      </c>
      <c r="P75" s="255">
        <v>3</v>
      </c>
      <c r="Q75" s="256" t="s">
        <v>199</v>
      </c>
      <c r="R75" s="253" t="s">
        <v>132</v>
      </c>
      <c r="S75" s="253" t="s">
        <v>133</v>
      </c>
      <c r="T75" s="257" t="s">
        <v>13</v>
      </c>
      <c r="U75" s="253"/>
      <c r="V75" s="253"/>
      <c r="W75" s="258"/>
      <c r="X75" s="253"/>
      <c r="Y75" s="258"/>
      <c r="Z75" s="258"/>
      <c r="AA75" s="253"/>
      <c r="AB75" s="255">
        <v>0.5</v>
      </c>
      <c r="AC75" s="257" t="s">
        <v>13</v>
      </c>
      <c r="AD75" s="257">
        <v>2</v>
      </c>
      <c r="AE75" s="255">
        <v>0.5</v>
      </c>
      <c r="AF75" s="253"/>
      <c r="AG75" s="314" t="s">
        <v>119</v>
      </c>
      <c r="AH75" s="372">
        <v>0.5</v>
      </c>
      <c r="AI75" s="257" t="s">
        <v>207</v>
      </c>
      <c r="AJ75" s="257" t="s">
        <v>139</v>
      </c>
      <c r="AK75" s="351">
        <v>20323</v>
      </c>
    </row>
    <row r="76" spans="1:37" s="211" customFormat="1" ht="39" customHeight="1" x14ac:dyDescent="0.25">
      <c r="A76" s="677"/>
      <c r="B76" s="678"/>
      <c r="C76" s="680"/>
      <c r="D76" s="253" t="s">
        <v>135</v>
      </c>
      <c r="E76" s="253">
        <v>1</v>
      </c>
      <c r="F76" s="253" t="s">
        <v>5</v>
      </c>
      <c r="G76" s="253"/>
      <c r="H76" s="253" t="s">
        <v>136</v>
      </c>
      <c r="I76" s="253" t="s">
        <v>137</v>
      </c>
      <c r="J76" s="253">
        <v>87106</v>
      </c>
      <c r="K76" s="253" t="s">
        <v>138</v>
      </c>
      <c r="L76" s="254">
        <v>45998769</v>
      </c>
      <c r="M76" s="253">
        <v>3</v>
      </c>
      <c r="N76" s="253">
        <v>1</v>
      </c>
      <c r="O76" s="253">
        <v>1</v>
      </c>
      <c r="P76" s="255">
        <v>3</v>
      </c>
      <c r="Q76" s="256" t="s">
        <v>199</v>
      </c>
      <c r="R76" s="253" t="s">
        <v>132</v>
      </c>
      <c r="S76" s="253" t="s">
        <v>133</v>
      </c>
      <c r="T76" s="257" t="s">
        <v>13</v>
      </c>
      <c r="U76" s="253"/>
      <c r="V76" s="253"/>
      <c r="W76" s="258"/>
      <c r="X76" s="253"/>
      <c r="Y76" s="258"/>
      <c r="Z76" s="258"/>
      <c r="AA76" s="253"/>
      <c r="AB76" s="255">
        <v>0.5</v>
      </c>
      <c r="AC76" s="257" t="s">
        <v>13</v>
      </c>
      <c r="AD76" s="257">
        <v>2</v>
      </c>
      <c r="AE76" s="255">
        <v>0.5</v>
      </c>
      <c r="AF76" s="253"/>
      <c r="AG76" s="314" t="s">
        <v>119</v>
      </c>
      <c r="AH76" s="372">
        <v>0.5</v>
      </c>
      <c r="AI76" s="257" t="s">
        <v>207</v>
      </c>
      <c r="AJ76" s="257" t="s">
        <v>139</v>
      </c>
      <c r="AK76" s="351">
        <v>20323</v>
      </c>
    </row>
    <row r="77" spans="1:37" s="211" customFormat="1" ht="39" customHeight="1" x14ac:dyDescent="0.25">
      <c r="A77" s="677"/>
      <c r="B77" s="678"/>
      <c r="C77" s="680"/>
      <c r="D77" s="253" t="s">
        <v>135</v>
      </c>
      <c r="E77" s="253">
        <v>1</v>
      </c>
      <c r="F77" s="253" t="s">
        <v>5</v>
      </c>
      <c r="G77" s="253"/>
      <c r="H77" s="253" t="s">
        <v>136</v>
      </c>
      <c r="I77" s="253" t="s">
        <v>137</v>
      </c>
      <c r="J77" s="253">
        <v>87106</v>
      </c>
      <c r="K77" s="253" t="s">
        <v>138</v>
      </c>
      <c r="L77" s="254">
        <v>45998769</v>
      </c>
      <c r="M77" s="253">
        <v>4</v>
      </c>
      <c r="N77" s="253">
        <v>1</v>
      </c>
      <c r="O77" s="253">
        <v>1</v>
      </c>
      <c r="P77" s="255">
        <v>3</v>
      </c>
      <c r="Q77" s="256" t="s">
        <v>199</v>
      </c>
      <c r="R77" s="253" t="s">
        <v>132</v>
      </c>
      <c r="S77" s="253" t="s">
        <v>133</v>
      </c>
      <c r="T77" s="257" t="s">
        <v>13</v>
      </c>
      <c r="U77" s="253"/>
      <c r="V77" s="253"/>
      <c r="W77" s="258"/>
      <c r="X77" s="253"/>
      <c r="Y77" s="258"/>
      <c r="Z77" s="258"/>
      <c r="AA77" s="253"/>
      <c r="AB77" s="255">
        <v>0.5</v>
      </c>
      <c r="AC77" s="257" t="s">
        <v>13</v>
      </c>
      <c r="AD77" s="257">
        <v>2</v>
      </c>
      <c r="AE77" s="255">
        <v>0.5</v>
      </c>
      <c r="AF77" s="253"/>
      <c r="AG77" s="314" t="s">
        <v>119</v>
      </c>
      <c r="AH77" s="372">
        <v>0.5</v>
      </c>
      <c r="AI77" s="257" t="s">
        <v>207</v>
      </c>
      <c r="AJ77" s="257" t="s">
        <v>139</v>
      </c>
      <c r="AK77" s="351">
        <v>20323</v>
      </c>
    </row>
    <row r="78" spans="1:37" s="211" customFormat="1" ht="39" customHeight="1" thickBot="1" x14ac:dyDescent="0.3">
      <c r="A78" s="672"/>
      <c r="B78" s="634"/>
      <c r="C78" s="681"/>
      <c r="D78" s="300" t="s">
        <v>135</v>
      </c>
      <c r="E78" s="300">
        <v>1</v>
      </c>
      <c r="F78" s="300" t="s">
        <v>5</v>
      </c>
      <c r="G78" s="300"/>
      <c r="H78" s="300" t="s">
        <v>136</v>
      </c>
      <c r="I78" s="300" t="s">
        <v>137</v>
      </c>
      <c r="J78" s="300">
        <v>87106</v>
      </c>
      <c r="K78" s="300" t="s">
        <v>138</v>
      </c>
      <c r="L78" s="334">
        <v>45998769</v>
      </c>
      <c r="M78" s="300">
        <v>5</v>
      </c>
      <c r="N78" s="300">
        <v>1</v>
      </c>
      <c r="O78" s="300">
        <v>1</v>
      </c>
      <c r="P78" s="301">
        <v>3</v>
      </c>
      <c r="Q78" s="302" t="s">
        <v>199</v>
      </c>
      <c r="R78" s="300" t="s">
        <v>132</v>
      </c>
      <c r="S78" s="300" t="s">
        <v>133</v>
      </c>
      <c r="T78" s="303" t="s">
        <v>13</v>
      </c>
      <c r="U78" s="300"/>
      <c r="V78" s="300"/>
      <c r="W78" s="304"/>
      <c r="X78" s="300"/>
      <c r="Y78" s="304"/>
      <c r="Z78" s="304"/>
      <c r="AA78" s="300"/>
      <c r="AB78" s="301">
        <v>0.5</v>
      </c>
      <c r="AC78" s="303" t="s">
        <v>13</v>
      </c>
      <c r="AD78" s="303">
        <v>2</v>
      </c>
      <c r="AE78" s="301">
        <v>0.5</v>
      </c>
      <c r="AF78" s="300"/>
      <c r="AG78" s="364" t="s">
        <v>119</v>
      </c>
      <c r="AH78" s="376">
        <v>0.5</v>
      </c>
      <c r="AI78" s="303" t="s">
        <v>207</v>
      </c>
      <c r="AJ78" s="303" t="s">
        <v>139</v>
      </c>
      <c r="AK78" s="310">
        <v>20323</v>
      </c>
    </row>
    <row r="79" spans="1:37" s="211" customFormat="1" ht="13.5" customHeight="1" thickBot="1" x14ac:dyDescent="0.3">
      <c r="A79" s="688"/>
      <c r="B79" s="689"/>
      <c r="C79" s="689"/>
      <c r="D79" s="689"/>
      <c r="E79" s="689"/>
      <c r="F79" s="689"/>
      <c r="G79" s="689"/>
      <c r="H79" s="689"/>
      <c r="I79" s="689"/>
      <c r="J79" s="689"/>
      <c r="K79" s="689"/>
      <c r="L79" s="689"/>
      <c r="M79" s="689"/>
      <c r="N79" s="689"/>
      <c r="O79" s="689"/>
      <c r="P79" s="689"/>
      <c r="Q79" s="689"/>
      <c r="R79" s="689"/>
      <c r="S79" s="689"/>
      <c r="T79" s="689"/>
      <c r="U79" s="689"/>
      <c r="V79" s="689"/>
      <c r="W79" s="689"/>
      <c r="X79" s="689"/>
      <c r="Y79" s="689"/>
      <c r="Z79" s="689"/>
      <c r="AA79" s="689"/>
      <c r="AB79" s="689"/>
      <c r="AC79" s="689"/>
      <c r="AD79" s="689"/>
      <c r="AE79" s="689"/>
      <c r="AF79" s="689"/>
      <c r="AG79" s="689"/>
      <c r="AH79" s="689"/>
      <c r="AI79" s="689"/>
      <c r="AJ79" s="689"/>
      <c r="AK79" s="689"/>
    </row>
    <row r="80" spans="1:37" s="211" customFormat="1" ht="39" customHeight="1" x14ac:dyDescent="0.25">
      <c r="A80" s="690">
        <v>46</v>
      </c>
      <c r="B80" s="682" t="s">
        <v>235</v>
      </c>
      <c r="C80" s="679" t="s">
        <v>213</v>
      </c>
      <c r="D80" s="294" t="s">
        <v>135</v>
      </c>
      <c r="E80" s="294">
        <v>1</v>
      </c>
      <c r="F80" s="294" t="s">
        <v>5</v>
      </c>
      <c r="G80" s="294"/>
      <c r="H80" s="294" t="s">
        <v>136</v>
      </c>
      <c r="I80" s="294" t="s">
        <v>137</v>
      </c>
      <c r="J80" s="294">
        <v>87106</v>
      </c>
      <c r="K80" s="294" t="s">
        <v>138</v>
      </c>
      <c r="L80" s="333">
        <v>45998769</v>
      </c>
      <c r="M80" s="294">
        <v>1</v>
      </c>
      <c r="N80" s="294">
        <v>1</v>
      </c>
      <c r="O80" s="294">
        <v>1</v>
      </c>
      <c r="P80" s="295">
        <v>2</v>
      </c>
      <c r="Q80" s="296" t="s">
        <v>199</v>
      </c>
      <c r="R80" s="294" t="s">
        <v>132</v>
      </c>
      <c r="S80" s="294" t="s">
        <v>133</v>
      </c>
      <c r="T80" s="297" t="s">
        <v>13</v>
      </c>
      <c r="U80" s="294"/>
      <c r="V80" s="294"/>
      <c r="W80" s="298"/>
      <c r="X80" s="294"/>
      <c r="Y80" s="298"/>
      <c r="Z80" s="298"/>
      <c r="AA80" s="297" t="s">
        <v>209</v>
      </c>
      <c r="AB80" s="295">
        <v>1.5</v>
      </c>
      <c r="AC80" s="297" t="s">
        <v>13</v>
      </c>
      <c r="AD80" s="297">
        <v>2</v>
      </c>
      <c r="AE80" s="295">
        <v>0.5</v>
      </c>
      <c r="AF80" s="294"/>
      <c r="AG80" s="363" t="s">
        <v>119</v>
      </c>
      <c r="AH80" s="375">
        <v>0.5</v>
      </c>
      <c r="AI80" s="297" t="s">
        <v>207</v>
      </c>
      <c r="AJ80" s="297" t="s">
        <v>139</v>
      </c>
      <c r="AK80" s="299">
        <v>20323</v>
      </c>
    </row>
    <row r="81" spans="1:37" s="211" customFormat="1" ht="39" customHeight="1" x14ac:dyDescent="0.25">
      <c r="A81" s="691"/>
      <c r="B81" s="644"/>
      <c r="C81" s="680"/>
      <c r="D81" s="253" t="s">
        <v>135</v>
      </c>
      <c r="E81" s="253">
        <v>1</v>
      </c>
      <c r="F81" s="253" t="s">
        <v>5</v>
      </c>
      <c r="G81" s="253"/>
      <c r="H81" s="253" t="s">
        <v>136</v>
      </c>
      <c r="I81" s="253" t="s">
        <v>137</v>
      </c>
      <c r="J81" s="253">
        <v>87106</v>
      </c>
      <c r="K81" s="253" t="s">
        <v>138</v>
      </c>
      <c r="L81" s="254">
        <v>45998769</v>
      </c>
      <c r="M81" s="253">
        <v>2</v>
      </c>
      <c r="N81" s="253">
        <v>1</v>
      </c>
      <c r="O81" s="253">
        <v>1</v>
      </c>
      <c r="P81" s="255">
        <v>3</v>
      </c>
      <c r="Q81" s="256" t="s">
        <v>199</v>
      </c>
      <c r="R81" s="253" t="s">
        <v>132</v>
      </c>
      <c r="S81" s="253" t="s">
        <v>133</v>
      </c>
      <c r="T81" s="257" t="s">
        <v>13</v>
      </c>
      <c r="U81" s="253"/>
      <c r="V81" s="253"/>
      <c r="W81" s="258"/>
      <c r="X81" s="253"/>
      <c r="Y81" s="258"/>
      <c r="Z81" s="258"/>
      <c r="AA81" s="253"/>
      <c r="AB81" s="255">
        <v>0.5</v>
      </c>
      <c r="AC81" s="257" t="s">
        <v>13</v>
      </c>
      <c r="AD81" s="257">
        <v>2</v>
      </c>
      <c r="AE81" s="255">
        <v>0.5</v>
      </c>
      <c r="AF81" s="253"/>
      <c r="AG81" s="314" t="s">
        <v>119</v>
      </c>
      <c r="AH81" s="372">
        <v>0.5</v>
      </c>
      <c r="AI81" s="257" t="s">
        <v>207</v>
      </c>
      <c r="AJ81" s="257" t="s">
        <v>139</v>
      </c>
      <c r="AK81" s="351">
        <v>20323</v>
      </c>
    </row>
    <row r="82" spans="1:37" s="211" customFormat="1" ht="39" customHeight="1" x14ac:dyDescent="0.25">
      <c r="A82" s="691"/>
      <c r="B82" s="644"/>
      <c r="C82" s="680"/>
      <c r="D82" s="253" t="s">
        <v>135</v>
      </c>
      <c r="E82" s="253">
        <v>1</v>
      </c>
      <c r="F82" s="253" t="s">
        <v>5</v>
      </c>
      <c r="G82" s="253"/>
      <c r="H82" s="253" t="s">
        <v>136</v>
      </c>
      <c r="I82" s="253" t="s">
        <v>137</v>
      </c>
      <c r="J82" s="253">
        <v>87106</v>
      </c>
      <c r="K82" s="253" t="s">
        <v>138</v>
      </c>
      <c r="L82" s="254">
        <v>45998769</v>
      </c>
      <c r="M82" s="253">
        <v>3</v>
      </c>
      <c r="N82" s="253">
        <v>1</v>
      </c>
      <c r="O82" s="253">
        <v>1</v>
      </c>
      <c r="P82" s="255">
        <v>3</v>
      </c>
      <c r="Q82" s="256" t="s">
        <v>199</v>
      </c>
      <c r="R82" s="253" t="s">
        <v>132</v>
      </c>
      <c r="S82" s="253" t="s">
        <v>133</v>
      </c>
      <c r="T82" s="257" t="s">
        <v>13</v>
      </c>
      <c r="U82" s="253"/>
      <c r="V82" s="253"/>
      <c r="W82" s="258"/>
      <c r="X82" s="253"/>
      <c r="Y82" s="258"/>
      <c r="Z82" s="258"/>
      <c r="AA82" s="253"/>
      <c r="AB82" s="255">
        <v>0.5</v>
      </c>
      <c r="AC82" s="257" t="s">
        <v>13</v>
      </c>
      <c r="AD82" s="257">
        <v>2</v>
      </c>
      <c r="AE82" s="255">
        <v>0.5</v>
      </c>
      <c r="AF82" s="253"/>
      <c r="AG82" s="314" t="s">
        <v>119</v>
      </c>
      <c r="AH82" s="372">
        <v>0.5</v>
      </c>
      <c r="AI82" s="257" t="s">
        <v>207</v>
      </c>
      <c r="AJ82" s="257" t="s">
        <v>139</v>
      </c>
      <c r="AK82" s="351">
        <v>20323</v>
      </c>
    </row>
    <row r="83" spans="1:37" s="211" customFormat="1" ht="39" customHeight="1" x14ac:dyDescent="0.25">
      <c r="A83" s="691"/>
      <c r="B83" s="644"/>
      <c r="C83" s="680"/>
      <c r="D83" s="253" t="s">
        <v>135</v>
      </c>
      <c r="E83" s="253">
        <v>1</v>
      </c>
      <c r="F83" s="253" t="s">
        <v>5</v>
      </c>
      <c r="G83" s="253"/>
      <c r="H83" s="253" t="s">
        <v>136</v>
      </c>
      <c r="I83" s="253" t="s">
        <v>137</v>
      </c>
      <c r="J83" s="253">
        <v>87106</v>
      </c>
      <c r="K83" s="253" t="s">
        <v>138</v>
      </c>
      <c r="L83" s="254">
        <v>45998769</v>
      </c>
      <c r="M83" s="253">
        <v>4</v>
      </c>
      <c r="N83" s="253">
        <v>1</v>
      </c>
      <c r="O83" s="253">
        <v>1</v>
      </c>
      <c r="P83" s="255">
        <v>3</v>
      </c>
      <c r="Q83" s="256" t="s">
        <v>199</v>
      </c>
      <c r="R83" s="253" t="s">
        <v>132</v>
      </c>
      <c r="S83" s="253" t="s">
        <v>133</v>
      </c>
      <c r="T83" s="257" t="s">
        <v>13</v>
      </c>
      <c r="U83" s="253"/>
      <c r="V83" s="253"/>
      <c r="W83" s="258"/>
      <c r="X83" s="253"/>
      <c r="Y83" s="258"/>
      <c r="Z83" s="258"/>
      <c r="AA83" s="253"/>
      <c r="AB83" s="255">
        <v>0.5</v>
      </c>
      <c r="AC83" s="257" t="s">
        <v>13</v>
      </c>
      <c r="AD83" s="257">
        <v>2</v>
      </c>
      <c r="AE83" s="255">
        <v>0.5</v>
      </c>
      <c r="AF83" s="253"/>
      <c r="AG83" s="314" t="s">
        <v>119</v>
      </c>
      <c r="AH83" s="372">
        <v>0.5</v>
      </c>
      <c r="AI83" s="257" t="s">
        <v>207</v>
      </c>
      <c r="AJ83" s="257" t="s">
        <v>139</v>
      </c>
      <c r="AK83" s="351">
        <v>20323</v>
      </c>
    </row>
    <row r="84" spans="1:37" s="211" customFormat="1" ht="39" customHeight="1" thickBot="1" x14ac:dyDescent="0.3">
      <c r="A84" s="692"/>
      <c r="B84" s="683"/>
      <c r="C84" s="681"/>
      <c r="D84" s="300" t="s">
        <v>135</v>
      </c>
      <c r="E84" s="300">
        <v>1</v>
      </c>
      <c r="F84" s="300" t="s">
        <v>5</v>
      </c>
      <c r="G84" s="300"/>
      <c r="H84" s="300" t="s">
        <v>136</v>
      </c>
      <c r="I84" s="300" t="s">
        <v>137</v>
      </c>
      <c r="J84" s="300">
        <v>87106</v>
      </c>
      <c r="K84" s="300" t="s">
        <v>138</v>
      </c>
      <c r="L84" s="334">
        <v>45998769</v>
      </c>
      <c r="M84" s="300">
        <v>5</v>
      </c>
      <c r="N84" s="300">
        <v>1</v>
      </c>
      <c r="O84" s="300">
        <v>1</v>
      </c>
      <c r="P84" s="301">
        <v>3.5</v>
      </c>
      <c r="Q84" s="302" t="s">
        <v>199</v>
      </c>
      <c r="R84" s="300" t="s">
        <v>132</v>
      </c>
      <c r="S84" s="300" t="s">
        <v>133</v>
      </c>
      <c r="T84" s="303" t="s">
        <v>13</v>
      </c>
      <c r="U84" s="300"/>
      <c r="V84" s="300"/>
      <c r="W84" s="304"/>
      <c r="X84" s="300"/>
      <c r="Y84" s="304"/>
      <c r="Z84" s="304"/>
      <c r="AA84" s="300"/>
      <c r="AB84" s="301">
        <v>0.5</v>
      </c>
      <c r="AC84" s="300"/>
      <c r="AD84" s="300"/>
      <c r="AE84" s="304"/>
      <c r="AF84" s="300"/>
      <c r="AG84" s="364" t="s">
        <v>119</v>
      </c>
      <c r="AH84" s="376">
        <v>0.5</v>
      </c>
      <c r="AI84" s="300"/>
      <c r="AJ84" s="303" t="s">
        <v>139</v>
      </c>
      <c r="AK84" s="310">
        <v>20323</v>
      </c>
    </row>
    <row r="85" spans="1:37" s="211" customFormat="1" ht="14.25" customHeight="1" thickBot="1" x14ac:dyDescent="0.3">
      <c r="A85" s="326"/>
      <c r="B85" s="327"/>
      <c r="C85" s="328"/>
      <c r="D85" s="329"/>
      <c r="E85" s="329"/>
      <c r="F85" s="329"/>
      <c r="G85" s="329"/>
      <c r="H85" s="329"/>
      <c r="I85" s="329"/>
      <c r="J85" s="329"/>
      <c r="K85" s="329"/>
      <c r="L85" s="329"/>
      <c r="M85" s="329"/>
      <c r="N85" s="329"/>
      <c r="O85" s="329"/>
      <c r="P85" s="330"/>
      <c r="Q85" s="331"/>
      <c r="R85" s="329"/>
      <c r="S85" s="329"/>
      <c r="T85" s="329"/>
      <c r="U85" s="329"/>
      <c r="V85" s="329"/>
      <c r="W85" s="329"/>
      <c r="X85" s="329"/>
      <c r="Y85" s="329"/>
      <c r="Z85" s="329"/>
      <c r="AA85" s="329"/>
      <c r="AB85" s="330"/>
      <c r="AC85" s="329"/>
      <c r="AD85" s="329"/>
      <c r="AE85" s="329"/>
      <c r="AF85" s="329"/>
      <c r="AG85" s="329"/>
      <c r="AH85" s="329"/>
      <c r="AI85" s="329"/>
      <c r="AJ85" s="329"/>
      <c r="AK85" s="332"/>
    </row>
    <row r="86" spans="1:37" s="211" customFormat="1" ht="123.75" customHeight="1" thickBot="1" x14ac:dyDescent="0.3">
      <c r="A86" s="280" t="s">
        <v>260</v>
      </c>
      <c r="B86" s="281" t="s">
        <v>236</v>
      </c>
      <c r="C86" s="282" t="s">
        <v>208</v>
      </c>
      <c r="D86" s="283" t="s">
        <v>135</v>
      </c>
      <c r="E86" s="283">
        <v>1</v>
      </c>
      <c r="F86" s="283" t="s">
        <v>5</v>
      </c>
      <c r="G86" s="283"/>
      <c r="H86" s="283" t="s">
        <v>136</v>
      </c>
      <c r="I86" s="283" t="s">
        <v>137</v>
      </c>
      <c r="J86" s="283">
        <v>87106</v>
      </c>
      <c r="K86" s="283" t="s">
        <v>138</v>
      </c>
      <c r="L86" s="284">
        <v>459098765</v>
      </c>
      <c r="M86" s="283">
        <v>1</v>
      </c>
      <c r="N86" s="283">
        <v>1</v>
      </c>
      <c r="O86" s="283">
        <v>5</v>
      </c>
      <c r="P86" s="285">
        <v>2.6</v>
      </c>
      <c r="Q86" s="286" t="s">
        <v>199</v>
      </c>
      <c r="R86" s="283" t="s">
        <v>132</v>
      </c>
      <c r="S86" s="283" t="s">
        <v>133</v>
      </c>
      <c r="T86" s="287" t="s">
        <v>13</v>
      </c>
      <c r="U86" s="283"/>
      <c r="V86" s="283"/>
      <c r="W86" s="288"/>
      <c r="X86" s="283"/>
      <c r="Y86" s="288"/>
      <c r="Z86" s="285">
        <v>0.2</v>
      </c>
      <c r="AA86" s="287" t="s">
        <v>209</v>
      </c>
      <c r="AB86" s="285">
        <v>0.7</v>
      </c>
      <c r="AC86" s="287" t="s">
        <v>13</v>
      </c>
      <c r="AD86" s="287">
        <v>2</v>
      </c>
      <c r="AE86" s="285">
        <v>0.5</v>
      </c>
      <c r="AF86" s="285" t="s">
        <v>214</v>
      </c>
      <c r="AG86" s="359" t="s">
        <v>119</v>
      </c>
      <c r="AH86" s="374">
        <v>0.5</v>
      </c>
      <c r="AI86" s="287" t="s">
        <v>207</v>
      </c>
      <c r="AJ86" s="287" t="s">
        <v>139</v>
      </c>
      <c r="AK86" s="289">
        <v>20323</v>
      </c>
    </row>
    <row r="87" spans="1:37" s="211" customFormat="1" ht="13.5" customHeight="1" thickBot="1" x14ac:dyDescent="0.3">
      <c r="A87" s="352"/>
      <c r="B87" s="353"/>
      <c r="C87" s="353"/>
      <c r="D87" s="353"/>
      <c r="E87" s="353"/>
      <c r="F87" s="353"/>
      <c r="G87" s="353"/>
      <c r="H87" s="353"/>
      <c r="I87" s="353"/>
      <c r="J87" s="353"/>
      <c r="K87" s="353"/>
      <c r="L87" s="353"/>
      <c r="M87" s="353"/>
      <c r="N87" s="353"/>
      <c r="O87" s="353"/>
      <c r="P87" s="353"/>
      <c r="Q87" s="353"/>
      <c r="R87" s="353"/>
      <c r="S87" s="353"/>
      <c r="T87" s="353"/>
      <c r="U87" s="353"/>
      <c r="V87" s="353"/>
      <c r="W87" s="353"/>
      <c r="X87" s="353"/>
      <c r="Y87" s="353"/>
      <c r="Z87" s="353"/>
      <c r="AA87" s="353"/>
      <c r="AB87" s="353"/>
      <c r="AC87" s="353"/>
      <c r="AD87" s="353"/>
      <c r="AE87" s="353"/>
      <c r="AF87" s="353"/>
      <c r="AG87" s="353"/>
      <c r="AH87" s="353"/>
      <c r="AI87" s="353"/>
      <c r="AJ87" s="353"/>
      <c r="AK87" s="353"/>
    </row>
    <row r="88" spans="1:37" s="211" customFormat="1" ht="39" customHeight="1" x14ac:dyDescent="0.25">
      <c r="A88" s="671" t="s">
        <v>264</v>
      </c>
      <c r="B88" s="633" t="s">
        <v>237</v>
      </c>
      <c r="C88" s="679" t="s">
        <v>212</v>
      </c>
      <c r="D88" s="294" t="s">
        <v>135</v>
      </c>
      <c r="E88" s="294">
        <v>1</v>
      </c>
      <c r="F88" s="294" t="s">
        <v>5</v>
      </c>
      <c r="G88" s="294"/>
      <c r="H88" s="294" t="s">
        <v>136</v>
      </c>
      <c r="I88" s="294" t="s">
        <v>137</v>
      </c>
      <c r="J88" s="294">
        <v>87106</v>
      </c>
      <c r="K88" s="294" t="s">
        <v>138</v>
      </c>
      <c r="L88" s="333">
        <v>45998769</v>
      </c>
      <c r="M88" s="294">
        <v>1</v>
      </c>
      <c r="N88" s="294">
        <v>1</v>
      </c>
      <c r="O88" s="294">
        <v>1</v>
      </c>
      <c r="P88" s="295">
        <v>1.8</v>
      </c>
      <c r="Q88" s="296" t="s">
        <v>199</v>
      </c>
      <c r="R88" s="294" t="s">
        <v>132</v>
      </c>
      <c r="S88" s="294" t="s">
        <v>133</v>
      </c>
      <c r="T88" s="297" t="s">
        <v>13</v>
      </c>
      <c r="U88" s="294"/>
      <c r="V88" s="294"/>
      <c r="W88" s="298"/>
      <c r="X88" s="294"/>
      <c r="Y88" s="298"/>
      <c r="Z88" s="295">
        <v>0.2</v>
      </c>
      <c r="AA88" s="297" t="s">
        <v>209</v>
      </c>
      <c r="AB88" s="295">
        <v>1.5</v>
      </c>
      <c r="AC88" s="297" t="s">
        <v>13</v>
      </c>
      <c r="AD88" s="297">
        <v>2</v>
      </c>
      <c r="AE88" s="295">
        <v>0.5</v>
      </c>
      <c r="AF88" s="295" t="s">
        <v>214</v>
      </c>
      <c r="AG88" s="363" t="s">
        <v>119</v>
      </c>
      <c r="AH88" s="375">
        <v>0.5</v>
      </c>
      <c r="AI88" s="297" t="s">
        <v>207</v>
      </c>
      <c r="AJ88" s="297" t="s">
        <v>139</v>
      </c>
      <c r="AK88" s="299">
        <v>20323</v>
      </c>
    </row>
    <row r="89" spans="1:37" s="211" customFormat="1" ht="39" customHeight="1" x14ac:dyDescent="0.25">
      <c r="A89" s="677"/>
      <c r="B89" s="678"/>
      <c r="C89" s="680"/>
      <c r="D89" s="253" t="s">
        <v>135</v>
      </c>
      <c r="E89" s="253">
        <v>1</v>
      </c>
      <c r="F89" s="253" t="s">
        <v>5</v>
      </c>
      <c r="G89" s="253"/>
      <c r="H89" s="253" t="s">
        <v>136</v>
      </c>
      <c r="I89" s="253" t="s">
        <v>137</v>
      </c>
      <c r="J89" s="253">
        <v>87106</v>
      </c>
      <c r="K89" s="253" t="s">
        <v>138</v>
      </c>
      <c r="L89" s="254">
        <v>45998769</v>
      </c>
      <c r="M89" s="253">
        <v>2</v>
      </c>
      <c r="N89" s="253">
        <v>1</v>
      </c>
      <c r="O89" s="253">
        <v>1</v>
      </c>
      <c r="P89" s="255">
        <v>2.8</v>
      </c>
      <c r="Q89" s="256" t="s">
        <v>199</v>
      </c>
      <c r="R89" s="253" t="s">
        <v>132</v>
      </c>
      <c r="S89" s="253" t="s">
        <v>133</v>
      </c>
      <c r="T89" s="257" t="s">
        <v>13</v>
      </c>
      <c r="U89" s="253"/>
      <c r="V89" s="253"/>
      <c r="W89" s="258"/>
      <c r="X89" s="253"/>
      <c r="Y89" s="258"/>
      <c r="Z89" s="255">
        <v>0.2</v>
      </c>
      <c r="AA89" s="253"/>
      <c r="AB89" s="255">
        <v>0.5</v>
      </c>
      <c r="AC89" s="257" t="s">
        <v>13</v>
      </c>
      <c r="AD89" s="257">
        <v>2</v>
      </c>
      <c r="AE89" s="255">
        <v>0.5</v>
      </c>
      <c r="AF89" s="255" t="s">
        <v>214</v>
      </c>
      <c r="AG89" s="314" t="s">
        <v>119</v>
      </c>
      <c r="AH89" s="372">
        <v>0.5</v>
      </c>
      <c r="AI89" s="257" t="s">
        <v>207</v>
      </c>
      <c r="AJ89" s="257" t="s">
        <v>139</v>
      </c>
      <c r="AK89" s="351">
        <v>20323</v>
      </c>
    </row>
    <row r="90" spans="1:37" s="211" customFormat="1" ht="39" customHeight="1" x14ac:dyDescent="0.25">
      <c r="A90" s="677"/>
      <c r="B90" s="678"/>
      <c r="C90" s="680"/>
      <c r="D90" s="253" t="s">
        <v>135</v>
      </c>
      <c r="E90" s="253">
        <v>1</v>
      </c>
      <c r="F90" s="253" t="s">
        <v>5</v>
      </c>
      <c r="G90" s="253"/>
      <c r="H90" s="253" t="s">
        <v>136</v>
      </c>
      <c r="I90" s="253" t="s">
        <v>137</v>
      </c>
      <c r="J90" s="253">
        <v>87106</v>
      </c>
      <c r="K90" s="253" t="s">
        <v>138</v>
      </c>
      <c r="L90" s="254">
        <v>45998769</v>
      </c>
      <c r="M90" s="253">
        <v>3</v>
      </c>
      <c r="N90" s="253">
        <v>1</v>
      </c>
      <c r="O90" s="253">
        <v>1</v>
      </c>
      <c r="P90" s="255">
        <v>2.8</v>
      </c>
      <c r="Q90" s="256" t="s">
        <v>199</v>
      </c>
      <c r="R90" s="253" t="s">
        <v>132</v>
      </c>
      <c r="S90" s="253" t="s">
        <v>133</v>
      </c>
      <c r="T90" s="257" t="s">
        <v>13</v>
      </c>
      <c r="U90" s="253"/>
      <c r="V90" s="253"/>
      <c r="W90" s="258"/>
      <c r="X90" s="253"/>
      <c r="Y90" s="258"/>
      <c r="Z90" s="255">
        <v>0.2</v>
      </c>
      <c r="AA90" s="253"/>
      <c r="AB90" s="255">
        <v>0.5</v>
      </c>
      <c r="AC90" s="257" t="s">
        <v>13</v>
      </c>
      <c r="AD90" s="257">
        <v>2</v>
      </c>
      <c r="AE90" s="255">
        <v>0.5</v>
      </c>
      <c r="AF90" s="255" t="s">
        <v>214</v>
      </c>
      <c r="AG90" s="314" t="s">
        <v>119</v>
      </c>
      <c r="AH90" s="372">
        <v>0.5</v>
      </c>
      <c r="AI90" s="257" t="s">
        <v>207</v>
      </c>
      <c r="AJ90" s="257" t="s">
        <v>139</v>
      </c>
      <c r="AK90" s="351">
        <v>20323</v>
      </c>
    </row>
    <row r="91" spans="1:37" s="211" customFormat="1" ht="39" customHeight="1" x14ac:dyDescent="0.25">
      <c r="A91" s="677"/>
      <c r="B91" s="678"/>
      <c r="C91" s="680"/>
      <c r="D91" s="253" t="s">
        <v>135</v>
      </c>
      <c r="E91" s="253">
        <v>1</v>
      </c>
      <c r="F91" s="253" t="s">
        <v>5</v>
      </c>
      <c r="G91" s="253"/>
      <c r="H91" s="253" t="s">
        <v>136</v>
      </c>
      <c r="I91" s="253" t="s">
        <v>137</v>
      </c>
      <c r="J91" s="253">
        <v>87106</v>
      </c>
      <c r="K91" s="253" t="s">
        <v>138</v>
      </c>
      <c r="L91" s="254">
        <v>45998769</v>
      </c>
      <c r="M91" s="253">
        <v>4</v>
      </c>
      <c r="N91" s="253">
        <v>1</v>
      </c>
      <c r="O91" s="253">
        <v>1</v>
      </c>
      <c r="P91" s="255">
        <v>2.8</v>
      </c>
      <c r="Q91" s="256" t="s">
        <v>199</v>
      </c>
      <c r="R91" s="253" t="s">
        <v>132</v>
      </c>
      <c r="S91" s="253" t="s">
        <v>133</v>
      </c>
      <c r="T91" s="257" t="s">
        <v>13</v>
      </c>
      <c r="U91" s="253"/>
      <c r="V91" s="253"/>
      <c r="W91" s="258"/>
      <c r="X91" s="253"/>
      <c r="Y91" s="258"/>
      <c r="Z91" s="255">
        <v>0.2</v>
      </c>
      <c r="AA91" s="253"/>
      <c r="AB91" s="255">
        <v>0.5</v>
      </c>
      <c r="AC91" s="257" t="s">
        <v>13</v>
      </c>
      <c r="AD91" s="257">
        <v>2</v>
      </c>
      <c r="AE91" s="255">
        <v>0.5</v>
      </c>
      <c r="AF91" s="255" t="s">
        <v>214</v>
      </c>
      <c r="AG91" s="314" t="s">
        <v>119</v>
      </c>
      <c r="AH91" s="372">
        <v>0.5</v>
      </c>
      <c r="AI91" s="257" t="s">
        <v>207</v>
      </c>
      <c r="AJ91" s="257" t="s">
        <v>139</v>
      </c>
      <c r="AK91" s="351">
        <v>20323</v>
      </c>
    </row>
    <row r="92" spans="1:37" s="211" customFormat="1" ht="39" customHeight="1" thickBot="1" x14ac:dyDescent="0.3">
      <c r="A92" s="672"/>
      <c r="B92" s="634"/>
      <c r="C92" s="681"/>
      <c r="D92" s="300" t="s">
        <v>135</v>
      </c>
      <c r="E92" s="300">
        <v>1</v>
      </c>
      <c r="F92" s="300" t="s">
        <v>5</v>
      </c>
      <c r="G92" s="300"/>
      <c r="H92" s="300" t="s">
        <v>136</v>
      </c>
      <c r="I92" s="300" t="s">
        <v>137</v>
      </c>
      <c r="J92" s="300">
        <v>87106</v>
      </c>
      <c r="K92" s="300" t="s">
        <v>138</v>
      </c>
      <c r="L92" s="334">
        <v>45998769</v>
      </c>
      <c r="M92" s="300">
        <v>5</v>
      </c>
      <c r="N92" s="300">
        <v>1</v>
      </c>
      <c r="O92" s="300">
        <v>1</v>
      </c>
      <c r="P92" s="301">
        <v>2.8</v>
      </c>
      <c r="Q92" s="302" t="s">
        <v>199</v>
      </c>
      <c r="R92" s="300" t="s">
        <v>132</v>
      </c>
      <c r="S92" s="300" t="s">
        <v>133</v>
      </c>
      <c r="T92" s="303" t="s">
        <v>13</v>
      </c>
      <c r="U92" s="300"/>
      <c r="V92" s="300"/>
      <c r="W92" s="304"/>
      <c r="X92" s="300"/>
      <c r="Y92" s="304"/>
      <c r="Z92" s="301">
        <v>0.2</v>
      </c>
      <c r="AA92" s="300"/>
      <c r="AB92" s="301">
        <v>0.5</v>
      </c>
      <c r="AC92" s="303" t="s">
        <v>13</v>
      </c>
      <c r="AD92" s="303">
        <v>2</v>
      </c>
      <c r="AE92" s="301">
        <v>0.5</v>
      </c>
      <c r="AF92" s="301" t="s">
        <v>214</v>
      </c>
      <c r="AG92" s="364" t="s">
        <v>119</v>
      </c>
      <c r="AH92" s="376">
        <v>0.5</v>
      </c>
      <c r="AI92" s="303" t="s">
        <v>207</v>
      </c>
      <c r="AJ92" s="303" t="s">
        <v>139</v>
      </c>
      <c r="AK92" s="310">
        <v>20323</v>
      </c>
    </row>
    <row r="93" spans="1:37" s="211" customFormat="1" ht="13.5" customHeight="1" x14ac:dyDescent="0.25">
      <c r="A93" s="693"/>
      <c r="B93" s="694"/>
      <c r="C93" s="694"/>
      <c r="D93" s="694"/>
      <c r="E93" s="694"/>
      <c r="F93" s="694"/>
      <c r="G93" s="694"/>
      <c r="H93" s="694"/>
      <c r="I93" s="694"/>
      <c r="J93" s="694"/>
      <c r="K93" s="694"/>
      <c r="L93" s="694"/>
      <c r="M93" s="694"/>
      <c r="N93" s="694"/>
      <c r="O93" s="694"/>
      <c r="P93" s="694"/>
      <c r="Q93" s="694"/>
      <c r="R93" s="694"/>
      <c r="S93" s="694"/>
      <c r="T93" s="694"/>
      <c r="U93" s="694"/>
      <c r="V93" s="694"/>
      <c r="W93" s="694"/>
      <c r="X93" s="694"/>
      <c r="Y93" s="694"/>
      <c r="Z93" s="694"/>
      <c r="AA93" s="694"/>
      <c r="AB93" s="694"/>
      <c r="AC93" s="694"/>
      <c r="AD93" s="694"/>
      <c r="AE93" s="694"/>
      <c r="AF93" s="694"/>
      <c r="AG93" s="694"/>
      <c r="AH93" s="694"/>
      <c r="AI93" s="694"/>
      <c r="AJ93" s="694"/>
      <c r="AK93" s="694"/>
    </row>
    <row r="94" spans="1:37" ht="13.5" customHeight="1" thickBot="1" x14ac:dyDescent="0.3">
      <c r="A94" s="317"/>
      <c r="B94" s="218"/>
      <c r="C94" s="218"/>
      <c r="D94" s="218"/>
      <c r="E94" s="218"/>
      <c r="F94" s="218"/>
      <c r="G94" s="218"/>
      <c r="H94" s="218"/>
      <c r="I94" s="218"/>
      <c r="J94" s="218"/>
      <c r="K94" s="218"/>
      <c r="L94" s="218"/>
      <c r="M94" s="218"/>
      <c r="N94" s="218"/>
      <c r="O94" s="218"/>
      <c r="P94" s="218"/>
      <c r="Q94" s="218"/>
      <c r="R94" s="218"/>
      <c r="S94" s="218"/>
      <c r="T94" s="218"/>
      <c r="U94" s="218"/>
      <c r="V94" s="218"/>
      <c r="W94" s="218"/>
      <c r="X94" s="218"/>
      <c r="Y94" s="218"/>
      <c r="Z94" s="218"/>
      <c r="AA94" s="218"/>
      <c r="AB94" s="218"/>
      <c r="AC94" s="218"/>
      <c r="AD94" s="218"/>
      <c r="AE94" s="218"/>
      <c r="AF94" s="218"/>
      <c r="AG94" s="218"/>
      <c r="AH94" s="218"/>
      <c r="AI94" s="218"/>
      <c r="AJ94" s="218"/>
      <c r="AK94" s="218"/>
    </row>
    <row r="95" spans="1:37" s="318" customFormat="1" ht="24.75" customHeight="1" thickBot="1" x14ac:dyDescent="0.3">
      <c r="A95" s="695" t="s">
        <v>202</v>
      </c>
      <c r="B95" s="696"/>
      <c r="C95" s="696"/>
      <c r="D95" s="696"/>
      <c r="E95" s="696"/>
      <c r="F95" s="696"/>
      <c r="G95" s="696"/>
      <c r="H95" s="696"/>
      <c r="I95" s="696"/>
      <c r="J95" s="696"/>
      <c r="K95" s="696"/>
      <c r="L95" s="696"/>
      <c r="M95" s="696"/>
      <c r="N95" s="696"/>
      <c r="O95" s="696"/>
      <c r="P95" s="696"/>
      <c r="Q95" s="696"/>
      <c r="R95" s="696"/>
      <c r="S95" s="696"/>
      <c r="T95" s="696"/>
      <c r="U95" s="696"/>
      <c r="V95" s="696"/>
      <c r="W95" s="696"/>
      <c r="X95" s="696"/>
      <c r="Y95" s="696"/>
      <c r="Z95" s="696"/>
      <c r="AA95" s="696"/>
      <c r="AB95" s="696"/>
      <c r="AC95" s="696"/>
      <c r="AD95" s="696"/>
      <c r="AE95" s="697"/>
    </row>
    <row r="96" spans="1:37" s="211" customFormat="1" ht="14.25" customHeight="1" thickBot="1" x14ac:dyDescent="0.3">
      <c r="A96" s="490"/>
      <c r="B96" s="467"/>
      <c r="C96" s="468"/>
      <c r="D96" s="469"/>
      <c r="E96" s="469"/>
      <c r="F96" s="469"/>
      <c r="G96" s="469"/>
      <c r="H96" s="469"/>
      <c r="I96" s="469"/>
      <c r="J96" s="469"/>
      <c r="K96" s="469"/>
      <c r="L96" s="469"/>
      <c r="M96" s="469"/>
      <c r="N96" s="469"/>
      <c r="O96" s="469"/>
      <c r="P96" s="470"/>
      <c r="Q96" s="471"/>
      <c r="R96" s="469"/>
      <c r="S96" s="469"/>
      <c r="T96" s="469"/>
      <c r="U96" s="469"/>
      <c r="V96" s="469"/>
      <c r="W96" s="469"/>
      <c r="X96" s="469"/>
      <c r="Y96" s="469"/>
      <c r="Z96" s="469"/>
      <c r="AA96" s="469"/>
      <c r="AB96" s="470"/>
      <c r="AC96" s="469"/>
      <c r="AD96" s="469"/>
      <c r="AE96" s="469"/>
      <c r="AF96" s="469"/>
      <c r="AG96" s="469"/>
      <c r="AH96" s="469"/>
      <c r="AI96" s="469"/>
      <c r="AJ96" s="469"/>
      <c r="AK96" s="472"/>
    </row>
    <row r="97" spans="1:37" s="211" customFormat="1" ht="69" customHeight="1" x14ac:dyDescent="0.25">
      <c r="A97" s="631" t="s">
        <v>265</v>
      </c>
      <c r="B97" s="682" t="s">
        <v>238</v>
      </c>
      <c r="C97" s="679" t="s">
        <v>215</v>
      </c>
      <c r="D97" s="294" t="s">
        <v>135</v>
      </c>
      <c r="E97" s="294">
        <v>1</v>
      </c>
      <c r="F97" s="294" t="s">
        <v>5</v>
      </c>
      <c r="G97" s="294"/>
      <c r="H97" s="294" t="s">
        <v>136</v>
      </c>
      <c r="I97" s="294" t="s">
        <v>137</v>
      </c>
      <c r="J97" s="294">
        <v>87106</v>
      </c>
      <c r="K97" s="294" t="s">
        <v>204</v>
      </c>
      <c r="L97" s="333">
        <v>45998766</v>
      </c>
      <c r="M97" s="294">
        <v>1</v>
      </c>
      <c r="N97" s="294">
        <v>1</v>
      </c>
      <c r="O97" s="297">
        <v>5</v>
      </c>
      <c r="P97" s="295">
        <v>3</v>
      </c>
      <c r="Q97" s="296" t="s">
        <v>199</v>
      </c>
      <c r="R97" s="294" t="s">
        <v>132</v>
      </c>
      <c r="S97" s="294" t="s">
        <v>133</v>
      </c>
      <c r="T97" s="340" t="s">
        <v>13</v>
      </c>
      <c r="U97" s="294"/>
      <c r="V97" s="294"/>
      <c r="W97" s="294"/>
      <c r="X97" s="294"/>
      <c r="Y97" s="294"/>
      <c r="Z97" s="294"/>
      <c r="AA97" s="294"/>
      <c r="AB97" s="295">
        <v>0.5</v>
      </c>
      <c r="AC97" s="297" t="s">
        <v>13</v>
      </c>
      <c r="AD97" s="297">
        <v>2</v>
      </c>
      <c r="AE97" s="295">
        <v>0.5</v>
      </c>
      <c r="AF97" s="294"/>
      <c r="AG97" s="363" t="s">
        <v>119</v>
      </c>
      <c r="AH97" s="375">
        <v>0.5</v>
      </c>
      <c r="AI97" s="297" t="s">
        <v>207</v>
      </c>
      <c r="AJ97" s="297" t="s">
        <v>139</v>
      </c>
      <c r="AK97" s="299">
        <v>20323</v>
      </c>
    </row>
    <row r="98" spans="1:37" s="211" customFormat="1" ht="69" customHeight="1" thickBot="1" x14ac:dyDescent="0.3">
      <c r="A98" s="632"/>
      <c r="B98" s="683"/>
      <c r="C98" s="681"/>
      <c r="D98" s="300" t="s">
        <v>135</v>
      </c>
      <c r="E98" s="300">
        <v>1</v>
      </c>
      <c r="F98" s="300" t="s">
        <v>5</v>
      </c>
      <c r="G98" s="300"/>
      <c r="H98" s="300" t="s">
        <v>136</v>
      </c>
      <c r="I98" s="300" t="s">
        <v>137</v>
      </c>
      <c r="J98" s="300">
        <v>87106</v>
      </c>
      <c r="K98" s="300" t="s">
        <v>204</v>
      </c>
      <c r="L98" s="334">
        <v>45998766</v>
      </c>
      <c r="M98" s="300">
        <v>2</v>
      </c>
      <c r="N98" s="300">
        <v>1</v>
      </c>
      <c r="O98" s="303">
        <v>2</v>
      </c>
      <c r="P98" s="301">
        <v>2.5</v>
      </c>
      <c r="Q98" s="302" t="s">
        <v>199</v>
      </c>
      <c r="R98" s="300" t="s">
        <v>132</v>
      </c>
      <c r="S98" s="300" t="s">
        <v>133</v>
      </c>
      <c r="T98" s="341" t="s">
        <v>13</v>
      </c>
      <c r="U98" s="300"/>
      <c r="V98" s="300"/>
      <c r="W98" s="300"/>
      <c r="X98" s="300"/>
      <c r="Y98" s="300"/>
      <c r="Z98" s="300"/>
      <c r="AA98" s="303" t="s">
        <v>209</v>
      </c>
      <c r="AB98" s="301">
        <v>1</v>
      </c>
      <c r="AC98" s="303" t="s">
        <v>13</v>
      </c>
      <c r="AD98" s="303">
        <v>2</v>
      </c>
      <c r="AE98" s="301">
        <v>0.5</v>
      </c>
      <c r="AF98" s="300"/>
      <c r="AG98" s="364" t="s">
        <v>119</v>
      </c>
      <c r="AH98" s="376">
        <v>0.5</v>
      </c>
      <c r="AI98" s="303" t="s">
        <v>207</v>
      </c>
      <c r="AJ98" s="341" t="s">
        <v>139</v>
      </c>
      <c r="AK98" s="307"/>
    </row>
    <row r="99" spans="1:37" s="211" customFormat="1" ht="13.5" customHeight="1" thickBot="1" x14ac:dyDescent="0.3">
      <c r="A99" s="688"/>
      <c r="B99" s="689"/>
      <c r="C99" s="689"/>
      <c r="D99" s="689"/>
      <c r="E99" s="689"/>
      <c r="F99" s="689"/>
      <c r="G99" s="689"/>
      <c r="H99" s="689"/>
      <c r="I99" s="689"/>
      <c r="J99" s="689"/>
      <c r="K99" s="689"/>
      <c r="L99" s="689"/>
      <c r="M99" s="689"/>
      <c r="N99" s="689"/>
      <c r="O99" s="689"/>
      <c r="P99" s="689"/>
      <c r="Q99" s="689"/>
      <c r="R99" s="689"/>
      <c r="S99" s="689"/>
      <c r="T99" s="689"/>
      <c r="U99" s="689"/>
      <c r="V99" s="689"/>
      <c r="W99" s="689"/>
      <c r="X99" s="689"/>
      <c r="Y99" s="689"/>
      <c r="Z99" s="689"/>
      <c r="AA99" s="689"/>
      <c r="AB99" s="689"/>
      <c r="AC99" s="689"/>
      <c r="AD99" s="689"/>
      <c r="AE99" s="689"/>
      <c r="AF99" s="689"/>
      <c r="AG99" s="689"/>
      <c r="AH99" s="689"/>
      <c r="AI99" s="689"/>
      <c r="AJ99" s="689"/>
      <c r="AK99" s="689"/>
    </row>
    <row r="100" spans="1:37" s="211" customFormat="1" ht="128.25" customHeight="1" thickBot="1" x14ac:dyDescent="0.3">
      <c r="A100" s="457" t="s">
        <v>266</v>
      </c>
      <c r="B100" s="458" t="s">
        <v>239</v>
      </c>
      <c r="C100" s="396" t="s">
        <v>216</v>
      </c>
      <c r="D100" s="459" t="s">
        <v>135</v>
      </c>
      <c r="E100" s="459">
        <v>1</v>
      </c>
      <c r="F100" s="459" t="s">
        <v>5</v>
      </c>
      <c r="G100" s="459"/>
      <c r="H100" s="459" t="s">
        <v>136</v>
      </c>
      <c r="I100" s="459" t="s">
        <v>137</v>
      </c>
      <c r="J100" s="459">
        <v>87106</v>
      </c>
      <c r="K100" s="459" t="s">
        <v>204</v>
      </c>
      <c r="L100" s="460">
        <v>45998766</v>
      </c>
      <c r="M100" s="459">
        <v>1</v>
      </c>
      <c r="N100" s="459">
        <v>1</v>
      </c>
      <c r="O100" s="461">
        <v>7</v>
      </c>
      <c r="P100" s="462">
        <v>3</v>
      </c>
      <c r="Q100" s="463" t="s">
        <v>199</v>
      </c>
      <c r="R100" s="459" t="s">
        <v>132</v>
      </c>
      <c r="S100" s="459" t="s">
        <v>133</v>
      </c>
      <c r="T100" s="464" t="s">
        <v>13</v>
      </c>
      <c r="U100" s="459"/>
      <c r="V100" s="459"/>
      <c r="W100" s="459"/>
      <c r="X100" s="459"/>
      <c r="Y100" s="459"/>
      <c r="Z100" s="459"/>
      <c r="AA100" s="464" t="s">
        <v>209</v>
      </c>
      <c r="AB100" s="462">
        <v>0.5</v>
      </c>
      <c r="AC100" s="464" t="s">
        <v>13</v>
      </c>
      <c r="AD100" s="464">
        <v>2</v>
      </c>
      <c r="AE100" s="465">
        <v>0.5</v>
      </c>
      <c r="AF100" s="459"/>
      <c r="AG100" s="446" t="s">
        <v>119</v>
      </c>
      <c r="AH100" s="447">
        <v>0.5</v>
      </c>
      <c r="AI100" s="464" t="s">
        <v>207</v>
      </c>
      <c r="AJ100" s="464" t="s">
        <v>139</v>
      </c>
      <c r="AK100" s="456">
        <v>20323</v>
      </c>
    </row>
    <row r="101" spans="1:37" s="211" customFormat="1" ht="14.25" customHeight="1" thickBot="1" x14ac:dyDescent="0.3">
      <c r="A101" s="466"/>
      <c r="B101" s="467"/>
      <c r="C101" s="468"/>
      <c r="D101" s="469"/>
      <c r="E101" s="469"/>
      <c r="F101" s="469"/>
      <c r="G101" s="469"/>
      <c r="H101" s="469"/>
      <c r="I101" s="469"/>
      <c r="J101" s="469"/>
      <c r="K101" s="469"/>
      <c r="L101" s="469"/>
      <c r="M101" s="469"/>
      <c r="N101" s="469"/>
      <c r="O101" s="469"/>
      <c r="P101" s="470"/>
      <c r="Q101" s="471"/>
      <c r="R101" s="469"/>
      <c r="S101" s="469"/>
      <c r="T101" s="469"/>
      <c r="U101" s="469"/>
      <c r="V101" s="469"/>
      <c r="W101" s="469"/>
      <c r="X101" s="469"/>
      <c r="Y101" s="469"/>
      <c r="Z101" s="469"/>
      <c r="AA101" s="469"/>
      <c r="AB101" s="470"/>
      <c r="AC101" s="469"/>
      <c r="AD101" s="469"/>
      <c r="AE101" s="469"/>
      <c r="AF101" s="469"/>
      <c r="AG101" s="469"/>
      <c r="AH101" s="469"/>
      <c r="AI101" s="469"/>
      <c r="AJ101" s="469"/>
      <c r="AK101" s="472"/>
    </row>
    <row r="102" spans="1:37" ht="16.5" thickBot="1" x14ac:dyDescent="0.3">
      <c r="A102" s="319"/>
      <c r="Q102" s="315"/>
    </row>
    <row r="103" spans="1:37" s="213" customFormat="1" ht="39" customHeight="1" x14ac:dyDescent="0.25">
      <c r="A103" s="429" t="s">
        <v>156</v>
      </c>
      <c r="B103" s="704" t="s">
        <v>157</v>
      </c>
      <c r="C103" s="704"/>
      <c r="D103" s="430" t="s">
        <v>135</v>
      </c>
      <c r="E103" s="430">
        <v>1</v>
      </c>
      <c r="F103" s="430" t="s">
        <v>5</v>
      </c>
      <c r="G103" s="430"/>
      <c r="H103" s="430" t="s">
        <v>136</v>
      </c>
      <c r="I103" s="430" t="s">
        <v>137</v>
      </c>
      <c r="J103" s="430">
        <v>87106</v>
      </c>
      <c r="K103" s="430" t="s">
        <v>140</v>
      </c>
      <c r="L103" s="430">
        <v>459012345</v>
      </c>
      <c r="M103" s="430">
        <v>1</v>
      </c>
      <c r="N103" s="430">
        <v>1</v>
      </c>
      <c r="O103" s="430">
        <v>1</v>
      </c>
      <c r="P103" s="431">
        <v>20</v>
      </c>
      <c r="Q103" s="432">
        <v>42100008722</v>
      </c>
      <c r="R103" s="430" t="s">
        <v>132</v>
      </c>
      <c r="S103" s="430" t="s">
        <v>141</v>
      </c>
      <c r="T103" s="430" t="s">
        <v>8</v>
      </c>
      <c r="U103" s="430"/>
      <c r="V103" s="430"/>
      <c r="W103" s="431"/>
      <c r="X103" s="430"/>
      <c r="Y103" s="431"/>
      <c r="Z103" s="431"/>
      <c r="AA103" s="430"/>
      <c r="AB103" s="431"/>
      <c r="AC103" s="430"/>
      <c r="AD103" s="430"/>
      <c r="AE103" s="431"/>
      <c r="AF103" s="430"/>
      <c r="AG103" s="430" t="s">
        <v>119</v>
      </c>
      <c r="AH103" s="431">
        <v>2.5</v>
      </c>
      <c r="AI103" s="430"/>
      <c r="AJ103" s="430"/>
      <c r="AK103" s="433"/>
    </row>
    <row r="104" spans="1:37" s="213" customFormat="1" ht="39" customHeight="1" thickBot="1" x14ac:dyDescent="0.3">
      <c r="A104" s="434" t="s">
        <v>156</v>
      </c>
      <c r="B104" s="705" t="s">
        <v>157</v>
      </c>
      <c r="C104" s="705"/>
      <c r="D104" s="435" t="s">
        <v>135</v>
      </c>
      <c r="E104" s="435">
        <v>1</v>
      </c>
      <c r="F104" s="435" t="s">
        <v>5</v>
      </c>
      <c r="G104" s="435"/>
      <c r="H104" s="435" t="s">
        <v>136</v>
      </c>
      <c r="I104" s="435" t="s">
        <v>137</v>
      </c>
      <c r="J104" s="435">
        <v>87106</v>
      </c>
      <c r="K104" s="435" t="s">
        <v>140</v>
      </c>
      <c r="L104" s="435">
        <v>459012345</v>
      </c>
      <c r="M104" s="435">
        <v>1</v>
      </c>
      <c r="N104" s="435">
        <v>1</v>
      </c>
      <c r="O104" s="435">
        <v>1</v>
      </c>
      <c r="P104" s="436">
        <v>20</v>
      </c>
      <c r="Q104" s="437">
        <v>42100005448</v>
      </c>
      <c r="R104" s="435" t="s">
        <v>200</v>
      </c>
      <c r="S104" s="435" t="s">
        <v>141</v>
      </c>
      <c r="T104" s="435" t="s">
        <v>8</v>
      </c>
      <c r="U104" s="435"/>
      <c r="V104" s="435"/>
      <c r="W104" s="436"/>
      <c r="X104" s="435"/>
      <c r="Y104" s="436"/>
      <c r="Z104" s="436"/>
      <c r="AA104" s="435"/>
      <c r="AB104" s="436"/>
      <c r="AC104" s="435"/>
      <c r="AD104" s="435"/>
      <c r="AE104" s="436"/>
      <c r="AF104" s="435"/>
      <c r="AG104" s="435" t="s">
        <v>119</v>
      </c>
      <c r="AH104" s="436">
        <v>2.5</v>
      </c>
      <c r="AI104" s="435"/>
      <c r="AJ104" s="435"/>
      <c r="AK104" s="438"/>
    </row>
    <row r="105" spans="1:37" s="211" customFormat="1" ht="100.5" customHeight="1" thickBot="1" x14ac:dyDescent="0.3">
      <c r="A105" s="280" t="s">
        <v>267</v>
      </c>
      <c r="B105" s="281" t="s">
        <v>240</v>
      </c>
      <c r="C105" s="282" t="s">
        <v>159</v>
      </c>
      <c r="D105" s="283" t="s">
        <v>135</v>
      </c>
      <c r="E105" s="283">
        <v>1</v>
      </c>
      <c r="F105" s="283" t="s">
        <v>5</v>
      </c>
      <c r="G105" s="283"/>
      <c r="H105" s="283" t="s">
        <v>136</v>
      </c>
      <c r="I105" s="283" t="s">
        <v>137</v>
      </c>
      <c r="J105" s="283">
        <v>87106</v>
      </c>
      <c r="K105" s="283" t="s">
        <v>138</v>
      </c>
      <c r="L105" s="284">
        <v>459098765</v>
      </c>
      <c r="M105" s="283">
        <v>1</v>
      </c>
      <c r="N105" s="283">
        <v>1</v>
      </c>
      <c r="O105" s="283">
        <v>1</v>
      </c>
      <c r="P105" s="285">
        <v>15</v>
      </c>
      <c r="Q105" s="286">
        <v>42100008722</v>
      </c>
      <c r="R105" s="283" t="s">
        <v>132</v>
      </c>
      <c r="S105" s="283" t="s">
        <v>141</v>
      </c>
      <c r="T105" s="287" t="s">
        <v>13</v>
      </c>
      <c r="U105" s="283"/>
      <c r="V105" s="283"/>
      <c r="W105" s="288"/>
      <c r="X105" s="283"/>
      <c r="Y105" s="288"/>
      <c r="Z105" s="288"/>
      <c r="AA105" s="283"/>
      <c r="AB105" s="285">
        <v>2.5</v>
      </c>
      <c r="AC105" s="285" t="s">
        <v>13</v>
      </c>
      <c r="AD105" s="339">
        <v>2</v>
      </c>
      <c r="AE105" s="285">
        <v>2.5</v>
      </c>
      <c r="AF105" s="283"/>
      <c r="AG105" s="359" t="s">
        <v>119</v>
      </c>
      <c r="AH105" s="374">
        <v>2.5</v>
      </c>
      <c r="AI105" s="285" t="s">
        <v>207</v>
      </c>
      <c r="AJ105" s="287" t="s">
        <v>139</v>
      </c>
      <c r="AK105" s="289">
        <v>20323</v>
      </c>
    </row>
    <row r="106" spans="1:37" s="211" customFormat="1" ht="14.25" customHeight="1" thickBot="1" x14ac:dyDescent="0.3">
      <c r="A106" s="490"/>
      <c r="B106" s="467"/>
      <c r="C106" s="468"/>
      <c r="D106" s="469"/>
      <c r="E106" s="469"/>
      <c r="F106" s="469"/>
      <c r="G106" s="469"/>
      <c r="H106" s="469"/>
      <c r="I106" s="469"/>
      <c r="J106" s="469"/>
      <c r="K106" s="469"/>
      <c r="L106" s="469"/>
      <c r="M106" s="469"/>
      <c r="N106" s="469"/>
      <c r="O106" s="469"/>
      <c r="P106" s="470"/>
      <c r="Q106" s="471"/>
      <c r="R106" s="469"/>
      <c r="S106" s="469"/>
      <c r="T106" s="469"/>
      <c r="U106" s="469"/>
      <c r="V106" s="469"/>
      <c r="W106" s="469"/>
      <c r="X106" s="469"/>
      <c r="Y106" s="469"/>
      <c r="Z106" s="469"/>
      <c r="AA106" s="469"/>
      <c r="AB106" s="470"/>
      <c r="AC106" s="469"/>
      <c r="AD106" s="469"/>
      <c r="AE106" s="469"/>
      <c r="AF106" s="469"/>
      <c r="AG106" s="469"/>
      <c r="AH106" s="469"/>
      <c r="AI106" s="469"/>
      <c r="AJ106" s="469"/>
      <c r="AK106" s="472"/>
    </row>
    <row r="107" spans="1:37" s="211" customFormat="1" ht="84" customHeight="1" x14ac:dyDescent="0.25">
      <c r="A107" s="671" t="s">
        <v>268</v>
      </c>
      <c r="B107" s="673" t="s">
        <v>241</v>
      </c>
      <c r="C107" s="679" t="s">
        <v>159</v>
      </c>
      <c r="D107" s="294" t="s">
        <v>135</v>
      </c>
      <c r="E107" s="294">
        <v>1</v>
      </c>
      <c r="F107" s="294" t="s">
        <v>5</v>
      </c>
      <c r="G107" s="294"/>
      <c r="H107" s="294" t="s">
        <v>136</v>
      </c>
      <c r="I107" s="294" t="s">
        <v>137</v>
      </c>
      <c r="J107" s="294">
        <v>87106</v>
      </c>
      <c r="K107" s="294" t="s">
        <v>138</v>
      </c>
      <c r="L107" s="333">
        <v>459098765</v>
      </c>
      <c r="M107" s="294">
        <v>1</v>
      </c>
      <c r="N107" s="294">
        <v>1</v>
      </c>
      <c r="O107" s="294">
        <v>2</v>
      </c>
      <c r="P107" s="295">
        <v>16.25</v>
      </c>
      <c r="Q107" s="296">
        <v>42100008722</v>
      </c>
      <c r="R107" s="294" t="s">
        <v>132</v>
      </c>
      <c r="S107" s="294" t="s">
        <v>141</v>
      </c>
      <c r="T107" s="297" t="s">
        <v>13</v>
      </c>
      <c r="U107" s="294"/>
      <c r="V107" s="294"/>
      <c r="W107" s="298"/>
      <c r="X107" s="294"/>
      <c r="Y107" s="298"/>
      <c r="Z107" s="298"/>
      <c r="AA107" s="294"/>
      <c r="AB107" s="295">
        <v>1.25</v>
      </c>
      <c r="AC107" s="295" t="s">
        <v>13</v>
      </c>
      <c r="AD107" s="308">
        <v>2</v>
      </c>
      <c r="AE107" s="295">
        <v>2.5</v>
      </c>
      <c r="AF107" s="294"/>
      <c r="AG107" s="314" t="s">
        <v>119</v>
      </c>
      <c r="AH107" s="372">
        <v>2.5</v>
      </c>
      <c r="AI107" s="295" t="s">
        <v>207</v>
      </c>
      <c r="AJ107" s="297" t="s">
        <v>139</v>
      </c>
      <c r="AK107" s="299">
        <v>20323</v>
      </c>
    </row>
    <row r="108" spans="1:37" s="211" customFormat="1" ht="84" customHeight="1" thickBot="1" x14ac:dyDescent="0.3">
      <c r="A108" s="677"/>
      <c r="B108" s="706"/>
      <c r="C108" s="680"/>
      <c r="D108" s="439" t="s">
        <v>135</v>
      </c>
      <c r="E108" s="439">
        <v>1</v>
      </c>
      <c r="F108" s="439" t="s">
        <v>5</v>
      </c>
      <c r="G108" s="439"/>
      <c r="H108" s="439" t="s">
        <v>136</v>
      </c>
      <c r="I108" s="439" t="s">
        <v>137</v>
      </c>
      <c r="J108" s="439">
        <v>87106</v>
      </c>
      <c r="K108" s="439" t="s">
        <v>138</v>
      </c>
      <c r="L108" s="440">
        <v>459098765</v>
      </c>
      <c r="M108" s="439">
        <v>2</v>
      </c>
      <c r="N108" s="439">
        <v>1</v>
      </c>
      <c r="O108" s="439">
        <v>1</v>
      </c>
      <c r="P108" s="441">
        <v>17.5</v>
      </c>
      <c r="Q108" s="442">
        <v>42100005448</v>
      </c>
      <c r="R108" s="439" t="s">
        <v>200</v>
      </c>
      <c r="S108" s="439" t="s">
        <v>141</v>
      </c>
      <c r="T108" s="443" t="s">
        <v>13</v>
      </c>
      <c r="U108" s="439"/>
      <c r="V108" s="439"/>
      <c r="W108" s="444"/>
      <c r="X108" s="439"/>
      <c r="Y108" s="444"/>
      <c r="Z108" s="444"/>
      <c r="AA108" s="439"/>
      <c r="AB108" s="444"/>
      <c r="AC108" s="441" t="s">
        <v>13</v>
      </c>
      <c r="AD108" s="445">
        <v>2</v>
      </c>
      <c r="AE108" s="441">
        <v>2.5</v>
      </c>
      <c r="AF108" s="439"/>
      <c r="AG108" s="446" t="s">
        <v>119</v>
      </c>
      <c r="AH108" s="447">
        <v>2.5</v>
      </c>
      <c r="AI108" s="441" t="s">
        <v>207</v>
      </c>
      <c r="AJ108" s="443" t="s">
        <v>139</v>
      </c>
      <c r="AK108" s="448"/>
    </row>
    <row r="109" spans="1:37" s="211" customFormat="1" ht="14.25" customHeight="1" thickBot="1" x14ac:dyDescent="0.3">
      <c r="A109" s="449"/>
      <c r="B109" s="450"/>
      <c r="C109" s="451"/>
      <c r="D109" s="452"/>
      <c r="E109" s="452"/>
      <c r="F109" s="452"/>
      <c r="G109" s="452"/>
      <c r="H109" s="452"/>
      <c r="I109" s="452"/>
      <c r="J109" s="452"/>
      <c r="K109" s="452"/>
      <c r="L109" s="452"/>
      <c r="M109" s="452"/>
      <c r="N109" s="452"/>
      <c r="O109" s="452"/>
      <c r="P109" s="453"/>
      <c r="Q109" s="454"/>
      <c r="R109" s="452"/>
      <c r="S109" s="452"/>
      <c r="T109" s="452"/>
      <c r="U109" s="452"/>
      <c r="V109" s="452"/>
      <c r="W109" s="452"/>
      <c r="X109" s="452"/>
      <c r="Y109" s="452"/>
      <c r="Z109" s="452"/>
      <c r="AA109" s="452"/>
      <c r="AB109" s="453"/>
      <c r="AC109" s="452"/>
      <c r="AD109" s="452"/>
      <c r="AE109" s="452"/>
      <c r="AF109" s="452"/>
      <c r="AG109" s="452"/>
      <c r="AH109" s="452"/>
      <c r="AI109" s="452"/>
      <c r="AJ109" s="452"/>
      <c r="AK109" s="455"/>
    </row>
    <row r="110" spans="1:37" s="211" customFormat="1" ht="39" customHeight="1" x14ac:dyDescent="0.25">
      <c r="A110" s="671" t="s">
        <v>269</v>
      </c>
      <c r="B110" s="633" t="s">
        <v>242</v>
      </c>
      <c r="C110" s="679" t="s">
        <v>212</v>
      </c>
      <c r="D110" s="294" t="s">
        <v>135</v>
      </c>
      <c r="E110" s="294">
        <v>1</v>
      </c>
      <c r="F110" s="294" t="s">
        <v>5</v>
      </c>
      <c r="G110" s="294"/>
      <c r="H110" s="294" t="s">
        <v>136</v>
      </c>
      <c r="I110" s="294" t="s">
        <v>137</v>
      </c>
      <c r="J110" s="294">
        <v>87106</v>
      </c>
      <c r="K110" s="294" t="s">
        <v>138</v>
      </c>
      <c r="L110" s="333">
        <v>45998769</v>
      </c>
      <c r="M110" s="294">
        <v>1</v>
      </c>
      <c r="N110" s="294">
        <v>1</v>
      </c>
      <c r="O110" s="294">
        <v>1</v>
      </c>
      <c r="P110" s="295">
        <v>14</v>
      </c>
      <c r="Q110" s="296">
        <v>42100008722</v>
      </c>
      <c r="R110" s="294" t="s">
        <v>132</v>
      </c>
      <c r="S110" s="294" t="s">
        <v>141</v>
      </c>
      <c r="T110" s="297" t="s">
        <v>13</v>
      </c>
      <c r="U110" s="294"/>
      <c r="V110" s="294"/>
      <c r="W110" s="298"/>
      <c r="X110" s="294"/>
      <c r="Y110" s="298"/>
      <c r="Z110" s="295">
        <v>1</v>
      </c>
      <c r="AA110" s="297" t="s">
        <v>209</v>
      </c>
      <c r="AB110" s="295">
        <v>3.5</v>
      </c>
      <c r="AC110" s="297" t="s">
        <v>13</v>
      </c>
      <c r="AD110" s="297">
        <v>2</v>
      </c>
      <c r="AE110" s="295">
        <v>2.5</v>
      </c>
      <c r="AF110" s="295" t="s">
        <v>214</v>
      </c>
      <c r="AG110" s="314" t="s">
        <v>119</v>
      </c>
      <c r="AH110" s="372">
        <v>2.5</v>
      </c>
      <c r="AI110" s="297" t="s">
        <v>207</v>
      </c>
      <c r="AJ110" s="297" t="s">
        <v>139</v>
      </c>
      <c r="AK110" s="299">
        <v>20323</v>
      </c>
    </row>
    <row r="111" spans="1:37" s="211" customFormat="1" ht="39" customHeight="1" x14ac:dyDescent="0.25">
      <c r="A111" s="677"/>
      <c r="B111" s="678"/>
      <c r="C111" s="680"/>
      <c r="D111" s="253" t="s">
        <v>135</v>
      </c>
      <c r="E111" s="253">
        <v>1</v>
      </c>
      <c r="F111" s="253" t="s">
        <v>5</v>
      </c>
      <c r="G111" s="253"/>
      <c r="H111" s="253" t="s">
        <v>136</v>
      </c>
      <c r="I111" s="253" t="s">
        <v>137</v>
      </c>
      <c r="J111" s="253">
        <v>87106</v>
      </c>
      <c r="K111" s="253" t="s">
        <v>138</v>
      </c>
      <c r="L111" s="254">
        <v>45998769</v>
      </c>
      <c r="M111" s="253">
        <v>2</v>
      </c>
      <c r="N111" s="253">
        <v>1</v>
      </c>
      <c r="O111" s="253">
        <v>1</v>
      </c>
      <c r="P111" s="255">
        <v>16.5</v>
      </c>
      <c r="Q111" s="256">
        <v>42100008722</v>
      </c>
      <c r="R111" s="253" t="s">
        <v>132</v>
      </c>
      <c r="S111" s="253" t="s">
        <v>141</v>
      </c>
      <c r="T111" s="257" t="s">
        <v>13</v>
      </c>
      <c r="U111" s="253"/>
      <c r="V111" s="253"/>
      <c r="W111" s="258"/>
      <c r="X111" s="253"/>
      <c r="Y111" s="258"/>
      <c r="Z111" s="255">
        <v>1</v>
      </c>
      <c r="AA111" s="253"/>
      <c r="AB111" s="258"/>
      <c r="AC111" s="257" t="s">
        <v>13</v>
      </c>
      <c r="AD111" s="257">
        <v>2</v>
      </c>
      <c r="AE111" s="255">
        <v>2.5</v>
      </c>
      <c r="AF111" s="255" t="s">
        <v>214</v>
      </c>
      <c r="AG111" s="314" t="s">
        <v>119</v>
      </c>
      <c r="AH111" s="372">
        <v>2.5</v>
      </c>
      <c r="AI111" s="257" t="s">
        <v>207</v>
      </c>
      <c r="AJ111" s="257" t="s">
        <v>139</v>
      </c>
      <c r="AK111" s="325"/>
    </row>
    <row r="112" spans="1:37" s="211" customFormat="1" ht="39" customHeight="1" x14ac:dyDescent="0.25">
      <c r="A112" s="677"/>
      <c r="B112" s="678"/>
      <c r="C112" s="680"/>
      <c r="D112" s="253" t="s">
        <v>135</v>
      </c>
      <c r="E112" s="253">
        <v>1</v>
      </c>
      <c r="F112" s="253" t="s">
        <v>5</v>
      </c>
      <c r="G112" s="253"/>
      <c r="H112" s="253" t="s">
        <v>136</v>
      </c>
      <c r="I112" s="253" t="s">
        <v>137</v>
      </c>
      <c r="J112" s="253">
        <v>87106</v>
      </c>
      <c r="K112" s="253" t="s">
        <v>138</v>
      </c>
      <c r="L112" s="254">
        <v>45998769</v>
      </c>
      <c r="M112" s="253">
        <v>3</v>
      </c>
      <c r="N112" s="253">
        <v>1</v>
      </c>
      <c r="O112" s="253">
        <v>1</v>
      </c>
      <c r="P112" s="255">
        <v>16.5</v>
      </c>
      <c r="Q112" s="256">
        <v>42100008722</v>
      </c>
      <c r="R112" s="253" t="s">
        <v>132</v>
      </c>
      <c r="S112" s="253" t="s">
        <v>141</v>
      </c>
      <c r="T112" s="257" t="s">
        <v>13</v>
      </c>
      <c r="U112" s="253"/>
      <c r="V112" s="253"/>
      <c r="W112" s="258"/>
      <c r="X112" s="253"/>
      <c r="Y112" s="258"/>
      <c r="Z112" s="255">
        <v>1</v>
      </c>
      <c r="AA112" s="253"/>
      <c r="AB112" s="258"/>
      <c r="AC112" s="257" t="s">
        <v>13</v>
      </c>
      <c r="AD112" s="257">
        <v>2</v>
      </c>
      <c r="AE112" s="255">
        <v>2.5</v>
      </c>
      <c r="AF112" s="255" t="s">
        <v>214</v>
      </c>
      <c r="AG112" s="314" t="s">
        <v>119</v>
      </c>
      <c r="AH112" s="372">
        <v>2.5</v>
      </c>
      <c r="AI112" s="257" t="s">
        <v>207</v>
      </c>
      <c r="AJ112" s="257" t="s">
        <v>139</v>
      </c>
      <c r="AK112" s="325"/>
    </row>
    <row r="113" spans="1:114" s="211" customFormat="1" ht="38.25" customHeight="1" thickBot="1" x14ac:dyDescent="0.3">
      <c r="A113" s="672"/>
      <c r="B113" s="634"/>
      <c r="C113" s="681"/>
      <c r="D113" s="300" t="s">
        <v>135</v>
      </c>
      <c r="E113" s="300">
        <v>1</v>
      </c>
      <c r="F113" s="300" t="s">
        <v>5</v>
      </c>
      <c r="G113" s="300"/>
      <c r="H113" s="300" t="s">
        <v>136</v>
      </c>
      <c r="I113" s="300" t="s">
        <v>137</v>
      </c>
      <c r="J113" s="300">
        <v>87106</v>
      </c>
      <c r="K113" s="300" t="s">
        <v>138</v>
      </c>
      <c r="L113" s="334">
        <v>45998769</v>
      </c>
      <c r="M113" s="300">
        <v>4</v>
      </c>
      <c r="N113" s="300">
        <v>1</v>
      </c>
      <c r="O113" s="300">
        <v>1</v>
      </c>
      <c r="P113" s="301">
        <v>16.5</v>
      </c>
      <c r="Q113" s="302">
        <v>42100008722</v>
      </c>
      <c r="R113" s="300" t="s">
        <v>132</v>
      </c>
      <c r="S113" s="300" t="s">
        <v>141</v>
      </c>
      <c r="T113" s="303" t="s">
        <v>13</v>
      </c>
      <c r="U113" s="300"/>
      <c r="V113" s="300"/>
      <c r="W113" s="304"/>
      <c r="X113" s="300"/>
      <c r="Y113" s="304"/>
      <c r="Z113" s="301">
        <v>1</v>
      </c>
      <c r="AA113" s="300"/>
      <c r="AB113" s="304"/>
      <c r="AC113" s="303" t="s">
        <v>13</v>
      </c>
      <c r="AD113" s="303">
        <v>2</v>
      </c>
      <c r="AE113" s="301">
        <v>2.5</v>
      </c>
      <c r="AF113" s="301" t="s">
        <v>214</v>
      </c>
      <c r="AG113" s="364" t="s">
        <v>119</v>
      </c>
      <c r="AH113" s="376">
        <v>2.5</v>
      </c>
      <c r="AI113" s="303" t="s">
        <v>207</v>
      </c>
      <c r="AJ113" s="303" t="s">
        <v>139</v>
      </c>
      <c r="AK113" s="307"/>
    </row>
    <row r="114" spans="1:114" s="211" customFormat="1" ht="14.25" customHeight="1" thickBot="1" x14ac:dyDescent="0.3">
      <c r="A114" s="490"/>
      <c r="B114" s="467"/>
      <c r="C114" s="468"/>
      <c r="D114" s="469"/>
      <c r="E114" s="469"/>
      <c r="F114" s="469"/>
      <c r="G114" s="469"/>
      <c r="H114" s="469"/>
      <c r="I114" s="469"/>
      <c r="J114" s="469"/>
      <c r="K114" s="469"/>
      <c r="L114" s="469"/>
      <c r="M114" s="469"/>
      <c r="N114" s="469"/>
      <c r="O114" s="469"/>
      <c r="P114" s="470"/>
      <c r="Q114" s="471"/>
      <c r="R114" s="469"/>
      <c r="S114" s="469"/>
      <c r="T114" s="469"/>
      <c r="U114" s="469"/>
      <c r="V114" s="469"/>
      <c r="W114" s="469"/>
      <c r="X114" s="469"/>
      <c r="Y114" s="469"/>
      <c r="Z114" s="469"/>
      <c r="AA114" s="469"/>
      <c r="AB114" s="470"/>
      <c r="AC114" s="469"/>
      <c r="AD114" s="469"/>
      <c r="AE114" s="469"/>
      <c r="AF114" s="469"/>
      <c r="AG114" s="469"/>
      <c r="AH114" s="469"/>
      <c r="AI114" s="469"/>
      <c r="AJ114" s="469"/>
      <c r="AK114" s="472"/>
    </row>
    <row r="115" spans="1:114" s="211" customFormat="1" ht="80.25" customHeight="1" x14ac:dyDescent="0.25">
      <c r="A115" s="671" t="s">
        <v>270</v>
      </c>
      <c r="B115" s="633" t="s">
        <v>243</v>
      </c>
      <c r="C115" s="679" t="s">
        <v>212</v>
      </c>
      <c r="D115" s="294" t="s">
        <v>135</v>
      </c>
      <c r="E115" s="294">
        <v>1</v>
      </c>
      <c r="F115" s="294" t="s">
        <v>5</v>
      </c>
      <c r="G115" s="294"/>
      <c r="H115" s="294" t="s">
        <v>136</v>
      </c>
      <c r="I115" s="294" t="s">
        <v>137</v>
      </c>
      <c r="J115" s="294">
        <v>87106</v>
      </c>
      <c r="K115" s="294" t="s">
        <v>138</v>
      </c>
      <c r="L115" s="333">
        <v>45998769</v>
      </c>
      <c r="M115" s="294">
        <v>1</v>
      </c>
      <c r="N115" s="294">
        <v>1</v>
      </c>
      <c r="O115" s="294">
        <v>1</v>
      </c>
      <c r="P115" s="295">
        <v>14</v>
      </c>
      <c r="Q115" s="296">
        <v>42100008722</v>
      </c>
      <c r="R115" s="294" t="s">
        <v>132</v>
      </c>
      <c r="S115" s="294" t="s">
        <v>141</v>
      </c>
      <c r="T115" s="297" t="s">
        <v>13</v>
      </c>
      <c r="U115" s="294"/>
      <c r="V115" s="294"/>
      <c r="W115" s="298"/>
      <c r="X115" s="294"/>
      <c r="Y115" s="298"/>
      <c r="Z115" s="295">
        <v>1</v>
      </c>
      <c r="AA115" s="297" t="s">
        <v>209</v>
      </c>
      <c r="AB115" s="295">
        <v>3.5</v>
      </c>
      <c r="AC115" s="297" t="s">
        <v>13</v>
      </c>
      <c r="AD115" s="297">
        <v>2</v>
      </c>
      <c r="AE115" s="295">
        <v>2.5</v>
      </c>
      <c r="AF115" s="295" t="s">
        <v>214</v>
      </c>
      <c r="AG115" s="314" t="s">
        <v>119</v>
      </c>
      <c r="AH115" s="372">
        <v>2.5</v>
      </c>
      <c r="AI115" s="297" t="s">
        <v>207</v>
      </c>
      <c r="AJ115" s="297" t="s">
        <v>139</v>
      </c>
      <c r="AK115" s="299">
        <v>20323</v>
      </c>
    </row>
    <row r="116" spans="1:114" s="211" customFormat="1" ht="80.25" customHeight="1" thickBot="1" x14ac:dyDescent="0.3">
      <c r="A116" s="672"/>
      <c r="B116" s="634"/>
      <c r="C116" s="681"/>
      <c r="D116" s="300" t="s">
        <v>135</v>
      </c>
      <c r="E116" s="300">
        <v>1</v>
      </c>
      <c r="F116" s="300" t="s">
        <v>5</v>
      </c>
      <c r="G116" s="300"/>
      <c r="H116" s="300" t="s">
        <v>136</v>
      </c>
      <c r="I116" s="300" t="s">
        <v>137</v>
      </c>
      <c r="J116" s="300">
        <v>87106</v>
      </c>
      <c r="K116" s="300" t="s">
        <v>138</v>
      </c>
      <c r="L116" s="334">
        <v>45998769</v>
      </c>
      <c r="M116" s="300">
        <v>2</v>
      </c>
      <c r="N116" s="300">
        <v>1</v>
      </c>
      <c r="O116" s="300">
        <v>3</v>
      </c>
      <c r="P116" s="301">
        <v>16.5</v>
      </c>
      <c r="Q116" s="302">
        <v>42100008722</v>
      </c>
      <c r="R116" s="300" t="s">
        <v>132</v>
      </c>
      <c r="S116" s="300" t="s">
        <v>141</v>
      </c>
      <c r="T116" s="303" t="s">
        <v>13</v>
      </c>
      <c r="U116" s="300"/>
      <c r="V116" s="300"/>
      <c r="W116" s="304"/>
      <c r="X116" s="300"/>
      <c r="Y116" s="304"/>
      <c r="Z116" s="301">
        <v>1</v>
      </c>
      <c r="AA116" s="300"/>
      <c r="AB116" s="304"/>
      <c r="AC116" s="303" t="s">
        <v>13</v>
      </c>
      <c r="AD116" s="303">
        <v>2</v>
      </c>
      <c r="AE116" s="301">
        <v>2.5</v>
      </c>
      <c r="AF116" s="301" t="s">
        <v>214</v>
      </c>
      <c r="AG116" s="314" t="s">
        <v>119</v>
      </c>
      <c r="AH116" s="372">
        <v>2.5</v>
      </c>
      <c r="AI116" s="303" t="s">
        <v>207</v>
      </c>
      <c r="AJ116" s="303" t="s">
        <v>139</v>
      </c>
      <c r="AK116" s="307"/>
    </row>
    <row r="117" spans="1:114" s="211" customFormat="1" ht="14.25" customHeight="1" thickBot="1" x14ac:dyDescent="0.3">
      <c r="A117" s="490"/>
      <c r="B117" s="467"/>
      <c r="C117" s="468"/>
      <c r="D117" s="469"/>
      <c r="E117" s="469"/>
      <c r="F117" s="469"/>
      <c r="G117" s="469"/>
      <c r="H117" s="469"/>
      <c r="I117" s="469"/>
      <c r="J117" s="469"/>
      <c r="K117" s="469"/>
      <c r="L117" s="469"/>
      <c r="M117" s="469"/>
      <c r="N117" s="469"/>
      <c r="O117" s="469"/>
      <c r="P117" s="470"/>
      <c r="Q117" s="471"/>
      <c r="R117" s="469"/>
      <c r="S117" s="469"/>
      <c r="T117" s="469"/>
      <c r="U117" s="469"/>
      <c r="V117" s="469"/>
      <c r="W117" s="469"/>
      <c r="X117" s="469"/>
      <c r="Y117" s="469"/>
      <c r="Z117" s="469"/>
      <c r="AA117" s="469"/>
      <c r="AB117" s="470"/>
      <c r="AC117" s="469"/>
      <c r="AD117" s="469"/>
      <c r="AE117" s="469"/>
      <c r="AF117" s="469"/>
      <c r="AG117" s="469"/>
      <c r="AH117" s="469"/>
      <c r="AI117" s="469"/>
      <c r="AJ117" s="469"/>
      <c r="AK117" s="472"/>
    </row>
    <row r="118" spans="1:114" s="16" customFormat="1" ht="12.75" customHeight="1" x14ac:dyDescent="0.25">
      <c r="A118" s="560">
        <v>52</v>
      </c>
      <c r="B118" s="654" t="s">
        <v>134</v>
      </c>
      <c r="C118" s="655"/>
      <c r="D118" s="190" t="s">
        <v>4</v>
      </c>
      <c r="E118" s="126">
        <v>1</v>
      </c>
      <c r="F118" s="126" t="s">
        <v>5</v>
      </c>
      <c r="G118" s="126"/>
      <c r="H118" s="126" t="s">
        <v>6</v>
      </c>
      <c r="I118" s="126" t="s">
        <v>10</v>
      </c>
      <c r="J118" s="126">
        <v>45429</v>
      </c>
      <c r="K118" s="126" t="s">
        <v>63</v>
      </c>
      <c r="L118" s="126">
        <v>123456</v>
      </c>
      <c r="M118" s="126">
        <v>1</v>
      </c>
      <c r="N118" s="126">
        <v>1</v>
      </c>
      <c r="O118" s="126">
        <v>1</v>
      </c>
      <c r="P118" s="127">
        <v>3</v>
      </c>
      <c r="Q118" s="128">
        <v>73100000553</v>
      </c>
      <c r="R118" s="126" t="s">
        <v>76</v>
      </c>
      <c r="S118" s="126" t="s">
        <v>73</v>
      </c>
      <c r="T118" s="126" t="s">
        <v>8</v>
      </c>
      <c r="U118" s="126"/>
      <c r="V118" s="126"/>
      <c r="W118" s="127"/>
      <c r="X118" s="126"/>
      <c r="Y118" s="127"/>
      <c r="Z118" s="127"/>
      <c r="AA118" s="126"/>
      <c r="AB118" s="127"/>
      <c r="AC118" s="126"/>
      <c r="AD118" s="126"/>
      <c r="AE118" s="127"/>
      <c r="AF118" s="126"/>
      <c r="AG118" s="126"/>
      <c r="AH118" s="127"/>
      <c r="AI118" s="126"/>
      <c r="AJ118" s="126"/>
      <c r="AK118" s="129"/>
      <c r="AL118" s="198"/>
      <c r="AM118" s="198"/>
      <c r="AN118" s="198"/>
      <c r="AO118" s="198"/>
      <c r="AP118" s="198"/>
      <c r="AQ118" s="198"/>
      <c r="AR118" s="198"/>
      <c r="AS118" s="198"/>
      <c r="AT118" s="198"/>
      <c r="AU118" s="198"/>
      <c r="AV118" s="198"/>
      <c r="AW118" s="198"/>
      <c r="AX118" s="198"/>
      <c r="AY118" s="198"/>
      <c r="AZ118" s="198"/>
      <c r="BA118" s="198"/>
      <c r="BB118" s="198"/>
      <c r="BC118" s="198"/>
      <c r="BD118" s="198"/>
      <c r="BE118" s="198"/>
      <c r="BF118" s="198"/>
      <c r="BG118" s="198"/>
      <c r="BH118" s="198"/>
      <c r="BI118" s="198"/>
      <c r="BJ118" s="198"/>
      <c r="BK118" s="198"/>
      <c r="BL118" s="198"/>
      <c r="BM118" s="198"/>
      <c r="BN118" s="198"/>
      <c r="BO118" s="198"/>
      <c r="BP118" s="198"/>
      <c r="BQ118" s="198"/>
      <c r="BR118" s="198"/>
      <c r="BS118" s="198"/>
      <c r="BT118" s="198"/>
      <c r="BU118" s="198"/>
      <c r="BV118" s="198"/>
      <c r="BW118" s="198"/>
      <c r="BX118" s="198"/>
      <c r="BY118" s="198"/>
      <c r="BZ118" s="198"/>
      <c r="CA118" s="198"/>
      <c r="CB118" s="198"/>
      <c r="CC118" s="198"/>
      <c r="CD118" s="198"/>
      <c r="CE118" s="198"/>
      <c r="CF118" s="198"/>
      <c r="CG118" s="198"/>
      <c r="CH118" s="198"/>
      <c r="CI118" s="198"/>
      <c r="CJ118" s="198"/>
      <c r="CK118" s="198"/>
      <c r="CL118" s="198"/>
      <c r="CM118" s="198"/>
      <c r="CN118" s="198"/>
      <c r="CO118" s="198"/>
      <c r="CP118" s="198"/>
      <c r="CQ118" s="198"/>
      <c r="CR118" s="198"/>
      <c r="CS118" s="198"/>
      <c r="CT118" s="198"/>
      <c r="CU118" s="198"/>
      <c r="CV118" s="198"/>
      <c r="CW118" s="198"/>
      <c r="CX118" s="198"/>
      <c r="CY118" s="198"/>
      <c r="CZ118" s="198"/>
      <c r="DA118" s="198"/>
      <c r="DB118" s="198"/>
      <c r="DC118" s="198"/>
      <c r="DD118" s="198"/>
      <c r="DE118" s="198"/>
      <c r="DF118" s="198"/>
      <c r="DG118" s="198"/>
      <c r="DH118" s="198"/>
      <c r="DI118" s="198"/>
      <c r="DJ118" s="198"/>
    </row>
    <row r="119" spans="1:114" s="16" customFormat="1" ht="15" customHeight="1" x14ac:dyDescent="0.25">
      <c r="A119" s="652"/>
      <c r="B119" s="656"/>
      <c r="C119" s="657"/>
      <c r="D119" s="203"/>
      <c r="E119" s="204"/>
      <c r="F119" s="200"/>
      <c r="G119" s="204"/>
      <c r="H119" s="204"/>
      <c r="I119" s="204"/>
      <c r="J119" s="204"/>
      <c r="K119" s="204"/>
      <c r="L119" s="204"/>
      <c r="M119" s="204"/>
      <c r="N119" s="204"/>
      <c r="O119" s="204"/>
      <c r="P119" s="33"/>
      <c r="Q119" s="204"/>
      <c r="R119" s="204"/>
      <c r="S119" s="204"/>
      <c r="T119" s="204"/>
      <c r="U119" s="204"/>
      <c r="V119" s="204"/>
      <c r="W119" s="204"/>
      <c r="X119" s="204"/>
      <c r="Y119" s="204"/>
      <c r="Z119" s="204"/>
      <c r="AA119" s="204"/>
      <c r="AB119" s="33"/>
      <c r="AC119" s="204"/>
      <c r="AD119" s="204"/>
      <c r="AE119" s="204"/>
      <c r="AF119" s="204"/>
      <c r="AG119" s="204"/>
      <c r="AH119" s="204"/>
      <c r="AI119" s="204"/>
      <c r="AJ119" s="204"/>
      <c r="AK119" s="205"/>
      <c r="AL119" s="198"/>
      <c r="AM119" s="198"/>
      <c r="AN119" s="198"/>
      <c r="AO119" s="198"/>
      <c r="AP119" s="198"/>
      <c r="AQ119" s="198"/>
      <c r="AR119" s="198"/>
      <c r="AS119" s="198"/>
      <c r="AT119" s="198"/>
      <c r="AU119" s="198"/>
      <c r="AV119" s="198"/>
      <c r="AW119" s="198"/>
      <c r="AX119" s="198"/>
      <c r="AY119" s="198"/>
      <c r="AZ119" s="198"/>
      <c r="BA119" s="198"/>
      <c r="BB119" s="198"/>
      <c r="BC119" s="198"/>
      <c r="BD119" s="198"/>
      <c r="BE119" s="198"/>
      <c r="BF119" s="198"/>
      <c r="BG119" s="198"/>
      <c r="BH119" s="198"/>
      <c r="BI119" s="198"/>
      <c r="BJ119" s="198"/>
      <c r="BK119" s="198"/>
      <c r="BL119" s="198"/>
      <c r="BM119" s="198"/>
      <c r="BN119" s="198"/>
      <c r="BO119" s="198"/>
      <c r="BP119" s="198"/>
      <c r="BQ119" s="198"/>
      <c r="BR119" s="198"/>
      <c r="BS119" s="198"/>
      <c r="BT119" s="198"/>
      <c r="BU119" s="198"/>
      <c r="BV119" s="198"/>
      <c r="BW119" s="198"/>
      <c r="BX119" s="198"/>
      <c r="BY119" s="198"/>
      <c r="BZ119" s="198"/>
      <c r="CA119" s="198"/>
      <c r="CB119" s="198"/>
      <c r="CC119" s="198"/>
      <c r="CD119" s="198"/>
      <c r="CE119" s="198"/>
      <c r="CF119" s="198"/>
      <c r="CG119" s="198"/>
      <c r="CH119" s="198"/>
      <c r="CI119" s="198"/>
      <c r="CJ119" s="198"/>
      <c r="CK119" s="198"/>
      <c r="CL119" s="198"/>
      <c r="CM119" s="198"/>
      <c r="CN119" s="198"/>
      <c r="CO119" s="198"/>
      <c r="CP119" s="198"/>
      <c r="CQ119" s="198"/>
      <c r="CR119" s="198"/>
      <c r="CS119" s="198"/>
      <c r="CT119" s="198"/>
      <c r="CU119" s="198"/>
      <c r="CV119" s="198"/>
      <c r="CW119" s="198"/>
      <c r="CX119" s="198"/>
      <c r="CY119" s="198"/>
      <c r="CZ119" s="198"/>
      <c r="DA119" s="198"/>
      <c r="DB119" s="198"/>
      <c r="DC119" s="198"/>
      <c r="DD119" s="198"/>
      <c r="DE119" s="198"/>
      <c r="DF119" s="198"/>
      <c r="DG119" s="198"/>
      <c r="DH119" s="198"/>
      <c r="DI119" s="198"/>
      <c r="DJ119" s="198"/>
    </row>
    <row r="120" spans="1:114" s="16" customFormat="1" ht="15" customHeight="1" x14ac:dyDescent="0.2">
      <c r="A120" s="652"/>
      <c r="B120" s="656"/>
      <c r="C120" s="657"/>
      <c r="D120" s="203" t="s">
        <v>4</v>
      </c>
      <c r="E120" s="204">
        <v>1</v>
      </c>
      <c r="F120" s="202" t="s">
        <v>5</v>
      </c>
      <c r="G120" s="202"/>
      <c r="H120" s="202" t="s">
        <v>6</v>
      </c>
      <c r="I120" s="202" t="s">
        <v>10</v>
      </c>
      <c r="J120" s="202">
        <v>45429</v>
      </c>
      <c r="K120" s="204" t="s">
        <v>63</v>
      </c>
      <c r="L120" s="204">
        <v>123456</v>
      </c>
      <c r="M120" s="204">
        <v>1</v>
      </c>
      <c r="N120" s="204">
        <v>1</v>
      </c>
      <c r="O120" s="204">
        <v>1</v>
      </c>
      <c r="P120" s="34">
        <v>2.75</v>
      </c>
      <c r="Q120" s="41">
        <v>73100000553</v>
      </c>
      <c r="R120" s="204" t="s">
        <v>76</v>
      </c>
      <c r="S120" s="204" t="s">
        <v>73</v>
      </c>
      <c r="T120" s="32" t="s">
        <v>13</v>
      </c>
      <c r="U120" s="204"/>
      <c r="V120" s="204"/>
      <c r="W120" s="33"/>
      <c r="X120" s="204"/>
      <c r="Y120" s="33"/>
      <c r="Z120" s="35"/>
      <c r="AA120" s="204"/>
      <c r="AB120" s="34">
        <v>0.25</v>
      </c>
      <c r="AC120" s="202"/>
      <c r="AD120" s="202"/>
      <c r="AE120" s="35"/>
      <c r="AF120" s="202"/>
      <c r="AG120" s="59" t="s">
        <v>128</v>
      </c>
      <c r="AH120" s="207">
        <v>0.5</v>
      </c>
      <c r="AI120" s="202"/>
      <c r="AJ120" s="32">
        <v>123456789</v>
      </c>
      <c r="AK120" s="188" t="s">
        <v>81</v>
      </c>
      <c r="AL120" s="198"/>
      <c r="AM120" s="198"/>
      <c r="AN120" s="198"/>
      <c r="AO120" s="198"/>
      <c r="AP120" s="198"/>
      <c r="AQ120" s="198"/>
      <c r="AR120" s="198"/>
      <c r="AS120" s="198"/>
      <c r="AT120" s="198"/>
      <c r="AU120" s="198"/>
      <c r="AV120" s="198"/>
      <c r="AW120" s="198"/>
      <c r="AX120" s="198"/>
      <c r="AY120" s="198"/>
      <c r="AZ120" s="198"/>
      <c r="BA120" s="198"/>
      <c r="BB120" s="198"/>
      <c r="BC120" s="198"/>
      <c r="BD120" s="198"/>
      <c r="BE120" s="198"/>
      <c r="BF120" s="198"/>
      <c r="BG120" s="198"/>
      <c r="BH120" s="198"/>
      <c r="BI120" s="198"/>
      <c r="BJ120" s="198"/>
      <c r="BK120" s="198"/>
      <c r="BL120" s="198"/>
      <c r="BM120" s="198"/>
      <c r="BN120" s="198"/>
      <c r="BO120" s="198"/>
      <c r="BP120" s="198"/>
      <c r="BQ120" s="198"/>
      <c r="BR120" s="198"/>
      <c r="BS120" s="198"/>
      <c r="BT120" s="198"/>
      <c r="BU120" s="198"/>
      <c r="BV120" s="198"/>
      <c r="BW120" s="198"/>
      <c r="BX120" s="198"/>
      <c r="BY120" s="198"/>
      <c r="BZ120" s="198"/>
      <c r="CA120" s="198"/>
      <c r="CB120" s="198"/>
      <c r="CC120" s="198"/>
      <c r="CD120" s="198"/>
      <c r="CE120" s="198"/>
      <c r="CF120" s="198"/>
      <c r="CG120" s="198"/>
      <c r="CH120" s="198"/>
      <c r="CI120" s="198"/>
      <c r="CJ120" s="198"/>
      <c r="CK120" s="198"/>
      <c r="CL120" s="198"/>
      <c r="CM120" s="198"/>
      <c r="CN120" s="198"/>
      <c r="CO120" s="198"/>
      <c r="CP120" s="198"/>
      <c r="CQ120" s="198"/>
      <c r="CR120" s="198"/>
      <c r="CS120" s="198"/>
      <c r="CT120" s="198"/>
      <c r="CU120" s="198"/>
      <c r="CV120" s="198"/>
      <c r="CW120" s="198"/>
      <c r="CX120" s="198"/>
      <c r="CY120" s="198"/>
      <c r="CZ120" s="198"/>
      <c r="DA120" s="198"/>
      <c r="DB120" s="198"/>
      <c r="DC120" s="198"/>
      <c r="DD120" s="198"/>
      <c r="DE120" s="198"/>
      <c r="DF120" s="198"/>
      <c r="DG120" s="198"/>
      <c r="DH120" s="198"/>
      <c r="DI120" s="198"/>
      <c r="DJ120" s="198"/>
    </row>
    <row r="121" spans="1:114" s="16" customFormat="1" ht="15" customHeight="1" x14ac:dyDescent="0.2">
      <c r="A121" s="652"/>
      <c r="B121" s="656"/>
      <c r="C121" s="657"/>
      <c r="D121" s="203" t="s">
        <v>4</v>
      </c>
      <c r="E121" s="204">
        <v>1</v>
      </c>
      <c r="F121" s="202" t="s">
        <v>5</v>
      </c>
      <c r="G121" s="202"/>
      <c r="H121" s="202" t="s">
        <v>6</v>
      </c>
      <c r="I121" s="202" t="s">
        <v>10</v>
      </c>
      <c r="J121" s="202">
        <v>45429</v>
      </c>
      <c r="K121" s="204" t="s">
        <v>64</v>
      </c>
      <c r="L121" s="204">
        <v>123456</v>
      </c>
      <c r="M121" s="204">
        <v>2</v>
      </c>
      <c r="N121" s="204">
        <v>1</v>
      </c>
      <c r="O121" s="204">
        <v>1</v>
      </c>
      <c r="P121" s="34">
        <v>2.75</v>
      </c>
      <c r="Q121" s="41">
        <v>73100000553</v>
      </c>
      <c r="R121" s="204" t="s">
        <v>76</v>
      </c>
      <c r="S121" s="204" t="s">
        <v>73</v>
      </c>
      <c r="T121" s="32" t="s">
        <v>13</v>
      </c>
      <c r="U121" s="204"/>
      <c r="V121" s="204"/>
      <c r="W121" s="33"/>
      <c r="X121" s="204"/>
      <c r="Y121" s="33"/>
      <c r="Z121" s="35"/>
      <c r="AA121" s="204"/>
      <c r="AB121" s="34">
        <v>0.25</v>
      </c>
      <c r="AC121" s="202"/>
      <c r="AD121" s="202"/>
      <c r="AE121" s="35"/>
      <c r="AF121" s="202"/>
      <c r="AG121" s="59" t="s">
        <v>128</v>
      </c>
      <c r="AH121" s="207">
        <v>0.5</v>
      </c>
      <c r="AI121" s="202"/>
      <c r="AJ121" s="32">
        <v>123456789</v>
      </c>
      <c r="AK121" s="188" t="s">
        <v>81</v>
      </c>
      <c r="AL121" s="198"/>
      <c r="AM121" s="198"/>
      <c r="AN121" s="198"/>
      <c r="AO121" s="198"/>
      <c r="AP121" s="198"/>
      <c r="AQ121" s="198"/>
      <c r="AR121" s="198"/>
      <c r="AS121" s="198"/>
      <c r="AT121" s="198"/>
      <c r="AU121" s="198"/>
      <c r="AV121" s="198"/>
      <c r="AW121" s="198"/>
      <c r="AX121" s="198"/>
      <c r="AY121" s="198"/>
      <c r="AZ121" s="198"/>
      <c r="BA121" s="198"/>
      <c r="BB121" s="198"/>
      <c r="BC121" s="198"/>
      <c r="BD121" s="198"/>
      <c r="BE121" s="198"/>
      <c r="BF121" s="198"/>
      <c r="BG121" s="198"/>
      <c r="BH121" s="198"/>
      <c r="BI121" s="198"/>
      <c r="BJ121" s="198"/>
      <c r="BK121" s="198"/>
      <c r="BL121" s="198"/>
      <c r="BM121" s="198"/>
      <c r="BN121" s="198"/>
      <c r="BO121" s="198"/>
      <c r="BP121" s="198"/>
      <c r="BQ121" s="198"/>
      <c r="BR121" s="198"/>
      <c r="BS121" s="198"/>
      <c r="BT121" s="198"/>
      <c r="BU121" s="198"/>
      <c r="BV121" s="198"/>
      <c r="BW121" s="198"/>
      <c r="BX121" s="198"/>
      <c r="BY121" s="198"/>
      <c r="BZ121" s="198"/>
      <c r="CA121" s="198"/>
      <c r="CB121" s="198"/>
      <c r="CC121" s="198"/>
      <c r="CD121" s="198"/>
      <c r="CE121" s="198"/>
      <c r="CF121" s="198"/>
      <c r="CG121" s="198"/>
      <c r="CH121" s="198"/>
      <c r="CI121" s="198"/>
      <c r="CJ121" s="198"/>
      <c r="CK121" s="198"/>
      <c r="CL121" s="198"/>
      <c r="CM121" s="198"/>
      <c r="CN121" s="198"/>
      <c r="CO121" s="198"/>
      <c r="CP121" s="198"/>
      <c r="CQ121" s="198"/>
      <c r="CR121" s="198"/>
      <c r="CS121" s="198"/>
      <c r="CT121" s="198"/>
      <c r="CU121" s="198"/>
      <c r="CV121" s="198"/>
      <c r="CW121" s="198"/>
      <c r="CX121" s="198"/>
      <c r="CY121" s="198"/>
      <c r="CZ121" s="198"/>
      <c r="DA121" s="198"/>
      <c r="DB121" s="198"/>
      <c r="DC121" s="198"/>
      <c r="DD121" s="198"/>
      <c r="DE121" s="198"/>
      <c r="DF121" s="198"/>
      <c r="DG121" s="198"/>
      <c r="DH121" s="198"/>
      <c r="DI121" s="198"/>
      <c r="DJ121" s="198"/>
    </row>
    <row r="122" spans="1:114" s="2" customFormat="1" ht="15" customHeight="1" x14ac:dyDescent="0.2">
      <c r="A122" s="652"/>
      <c r="B122" s="656"/>
      <c r="C122" s="657"/>
      <c r="D122" s="201"/>
      <c r="E122" s="200"/>
      <c r="F122" s="200"/>
      <c r="G122" s="200"/>
      <c r="H122" s="200"/>
      <c r="I122" s="200"/>
      <c r="J122" s="200"/>
      <c r="K122" s="200"/>
      <c r="L122" s="200"/>
      <c r="M122" s="204"/>
      <c r="N122" s="204"/>
      <c r="O122" s="204"/>
      <c r="P122" s="33"/>
      <c r="Q122" s="204"/>
      <c r="R122" s="204"/>
      <c r="S122" s="204"/>
      <c r="T122" s="204"/>
      <c r="U122" s="204"/>
      <c r="V122" s="204"/>
      <c r="W122" s="204"/>
      <c r="X122" s="204"/>
      <c r="Y122" s="204"/>
      <c r="Z122" s="204"/>
      <c r="AA122" s="204"/>
      <c r="AB122" s="33"/>
      <c r="AC122" s="204"/>
      <c r="AD122" s="204"/>
      <c r="AE122" s="204"/>
      <c r="AF122" s="204"/>
      <c r="AG122" s="204"/>
      <c r="AH122" s="204"/>
      <c r="AI122" s="204"/>
      <c r="AJ122" s="204"/>
      <c r="AK122" s="205"/>
      <c r="AL122" s="10"/>
      <c r="AM122" s="10"/>
      <c r="AN122" s="10"/>
      <c r="AO122" s="10"/>
      <c r="AP122" s="10"/>
      <c r="AQ122" s="10"/>
      <c r="AR122" s="10"/>
      <c r="AS122" s="10"/>
      <c r="AT122" s="10"/>
      <c r="AU122" s="10"/>
      <c r="AV122" s="10"/>
      <c r="AW122" s="10"/>
      <c r="AX122" s="10"/>
      <c r="AY122" s="10"/>
      <c r="AZ122" s="10"/>
      <c r="BA122" s="10"/>
      <c r="BB122" s="10"/>
      <c r="BC122" s="10"/>
      <c r="BD122" s="10"/>
      <c r="BE122" s="10"/>
      <c r="BF122" s="10"/>
      <c r="BG122" s="10"/>
      <c r="BH122" s="10"/>
      <c r="BI122" s="10"/>
      <c r="BJ122" s="10"/>
      <c r="BK122" s="10"/>
      <c r="BL122" s="10"/>
      <c r="BM122" s="10"/>
      <c r="BN122" s="10"/>
      <c r="BO122" s="10"/>
      <c r="BP122" s="10"/>
      <c r="BQ122" s="10"/>
      <c r="BR122" s="10"/>
      <c r="BS122" s="10"/>
      <c r="BT122" s="10"/>
      <c r="BU122" s="10"/>
      <c r="BV122" s="10"/>
      <c r="BW122" s="10"/>
      <c r="BX122" s="10"/>
      <c r="BY122" s="10"/>
      <c r="BZ122" s="10"/>
      <c r="CA122" s="10"/>
      <c r="CB122" s="10"/>
      <c r="CC122" s="10"/>
      <c r="CD122" s="10"/>
      <c r="CE122" s="10"/>
      <c r="CF122" s="10"/>
      <c r="CG122" s="10"/>
      <c r="CH122" s="10"/>
      <c r="CI122" s="10"/>
      <c r="CJ122" s="10"/>
      <c r="CK122" s="10"/>
      <c r="CL122" s="10"/>
      <c r="CM122" s="10"/>
      <c r="CN122" s="10"/>
      <c r="CO122" s="10"/>
      <c r="CP122" s="10"/>
      <c r="CQ122" s="10"/>
      <c r="CR122" s="10"/>
      <c r="CS122" s="10"/>
      <c r="CT122" s="10"/>
      <c r="CU122" s="10"/>
      <c r="CV122" s="10"/>
      <c r="CW122" s="10"/>
      <c r="CX122" s="10"/>
      <c r="CY122" s="10"/>
      <c r="CZ122" s="10"/>
      <c r="DA122" s="10"/>
      <c r="DB122" s="10"/>
      <c r="DC122" s="10"/>
      <c r="DD122" s="10"/>
      <c r="DE122" s="10"/>
      <c r="DF122" s="10"/>
      <c r="DG122" s="10"/>
      <c r="DH122" s="10"/>
      <c r="DI122" s="10"/>
      <c r="DJ122" s="10"/>
    </row>
    <row r="123" spans="1:114" s="10" customFormat="1" ht="15.75" customHeight="1" thickBot="1" x14ac:dyDescent="0.25">
      <c r="A123" s="561"/>
      <c r="B123" s="658"/>
      <c r="C123" s="659"/>
      <c r="D123" s="191" t="s">
        <v>4</v>
      </c>
      <c r="E123" s="131">
        <v>1</v>
      </c>
      <c r="F123" s="134" t="s">
        <v>5</v>
      </c>
      <c r="G123" s="134"/>
      <c r="H123" s="134" t="s">
        <v>6</v>
      </c>
      <c r="I123" s="134" t="s">
        <v>10</v>
      </c>
      <c r="J123" s="134">
        <v>45429</v>
      </c>
      <c r="K123" s="131" t="s">
        <v>63</v>
      </c>
      <c r="L123" s="131">
        <v>123456</v>
      </c>
      <c r="M123" s="131">
        <v>1</v>
      </c>
      <c r="N123" s="131">
        <v>1</v>
      </c>
      <c r="O123" s="131">
        <v>2</v>
      </c>
      <c r="P123" s="132">
        <v>2.75</v>
      </c>
      <c r="Q123" s="133">
        <v>73100000553</v>
      </c>
      <c r="R123" s="131" t="s">
        <v>76</v>
      </c>
      <c r="S123" s="131" t="s">
        <v>73</v>
      </c>
      <c r="T123" s="137" t="s">
        <v>13</v>
      </c>
      <c r="U123" s="131"/>
      <c r="V123" s="131"/>
      <c r="W123" s="135"/>
      <c r="X123" s="131"/>
      <c r="Y123" s="135"/>
      <c r="Z123" s="136"/>
      <c r="AA123" s="131"/>
      <c r="AB123" s="132">
        <v>0.25</v>
      </c>
      <c r="AC123" s="134"/>
      <c r="AD123" s="134"/>
      <c r="AE123" s="136"/>
      <c r="AF123" s="134"/>
      <c r="AG123" s="83" t="s">
        <v>128</v>
      </c>
      <c r="AH123" s="208">
        <v>0.5</v>
      </c>
      <c r="AI123" s="134"/>
      <c r="AJ123" s="137">
        <v>123456789</v>
      </c>
      <c r="AK123" s="189" t="s">
        <v>81</v>
      </c>
    </row>
  </sheetData>
  <mergeCells count="72">
    <mergeCell ref="A118:A123"/>
    <mergeCell ref="B118:C123"/>
    <mergeCell ref="A11:L11"/>
    <mergeCell ref="R1:AA1"/>
    <mergeCell ref="R2:AA2"/>
    <mergeCell ref="A110:A113"/>
    <mergeCell ref="B110:B113"/>
    <mergeCell ref="C110:C113"/>
    <mergeCell ref="A115:A116"/>
    <mergeCell ref="B115:B116"/>
    <mergeCell ref="C115:C116"/>
    <mergeCell ref="A99:AK99"/>
    <mergeCell ref="B103:C103"/>
    <mergeCell ref="B104:C104"/>
    <mergeCell ref="A107:A108"/>
    <mergeCell ref="B107:B108"/>
    <mergeCell ref="C107:C108"/>
    <mergeCell ref="A88:A92"/>
    <mergeCell ref="B88:B92"/>
    <mergeCell ref="C88:C92"/>
    <mergeCell ref="A93:AK93"/>
    <mergeCell ref="A95:AE95"/>
    <mergeCell ref="A97:A98"/>
    <mergeCell ref="B97:B98"/>
    <mergeCell ref="C97:C98"/>
    <mergeCell ref="A74:A78"/>
    <mergeCell ref="B74:B78"/>
    <mergeCell ref="C74:C78"/>
    <mergeCell ref="A79:AK79"/>
    <mergeCell ref="A80:A84"/>
    <mergeCell ref="B80:B84"/>
    <mergeCell ref="C80:C84"/>
    <mergeCell ref="A71:A72"/>
    <mergeCell ref="B71:B72"/>
    <mergeCell ref="C71:C72"/>
    <mergeCell ref="A50:A51"/>
    <mergeCell ref="B50:B51"/>
    <mergeCell ref="C50:C51"/>
    <mergeCell ref="A61:A62"/>
    <mergeCell ref="B61:B62"/>
    <mergeCell ref="C61:C62"/>
    <mergeCell ref="A67:AK67"/>
    <mergeCell ref="A68:A69"/>
    <mergeCell ref="B68:B69"/>
    <mergeCell ref="C68:C69"/>
    <mergeCell ref="A70:AK70"/>
    <mergeCell ref="A48:AE48"/>
    <mergeCell ref="A28:A32"/>
    <mergeCell ref="B28:B32"/>
    <mergeCell ref="C28:C32"/>
    <mergeCell ref="A35:AE35"/>
    <mergeCell ref="A37:A38"/>
    <mergeCell ref="B37:B38"/>
    <mergeCell ref="C37:C38"/>
    <mergeCell ref="B43:C43"/>
    <mergeCell ref="A46:AK46"/>
    <mergeCell ref="A13:C13"/>
    <mergeCell ref="A14:C14"/>
    <mergeCell ref="B15:C15"/>
    <mergeCell ref="B16:C16"/>
    <mergeCell ref="A23:A24"/>
    <mergeCell ref="B23:B24"/>
    <mergeCell ref="C23:C24"/>
    <mergeCell ref="A1:P1"/>
    <mergeCell ref="A2:P2"/>
    <mergeCell ref="AJ2:AJ12"/>
    <mergeCell ref="AK2:AK12"/>
    <mergeCell ref="A3:P3"/>
    <mergeCell ref="A4:P4"/>
    <mergeCell ref="A6:F7"/>
    <mergeCell ref="A8:F9"/>
    <mergeCell ref="P8:P12"/>
  </mergeCells>
  <pageMargins left="0.25" right="0.25" top="0.75" bottom="0.75" header="0.3" footer="0.3"/>
  <pageSetup paperSize="17" scale="58"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C1C9C-E19B-4C04-AFA3-982068BE801A}">
  <sheetPr>
    <tabColor theme="4" tint="0.59999389629810485"/>
    <pageSetUpPr fitToPage="1"/>
  </sheetPr>
  <dimension ref="A1:AK64"/>
  <sheetViews>
    <sheetView showGridLines="0" zoomScale="80" zoomScaleNormal="80" workbookViewId="0">
      <selection activeCell="A13" sqref="A13:C13"/>
    </sheetView>
  </sheetViews>
  <sheetFormatPr defaultColWidth="9.28515625" defaultRowHeight="18.75" x14ac:dyDescent="0.3"/>
  <cols>
    <col min="1" max="1" width="13.85546875" style="276" customWidth="1"/>
    <col min="2" max="2" width="23" style="277" customWidth="1"/>
    <col min="3" max="3" width="43.42578125" style="277" customWidth="1"/>
    <col min="4" max="5" width="9.42578125" style="217" customWidth="1"/>
    <col min="6" max="6" width="15.140625" style="217" bestFit="1" customWidth="1"/>
    <col min="7" max="7" width="11.5703125" style="217" customWidth="1"/>
    <col min="8" max="8" width="14.28515625" style="217" bestFit="1" customWidth="1"/>
    <col min="9" max="9" width="12.140625" style="217" customWidth="1"/>
    <col min="10" max="10" width="11" style="217" customWidth="1"/>
    <col min="11" max="11" width="21.28515625" style="217" bestFit="1" customWidth="1"/>
    <col min="12" max="12" width="13.140625" style="217" bestFit="1" customWidth="1"/>
    <col min="13" max="15" width="4" style="217" bestFit="1" customWidth="1"/>
    <col min="16" max="16" width="13.28515625" style="278" customWidth="1"/>
    <col min="17" max="17" width="18" style="279" bestFit="1" customWidth="1"/>
    <col min="18" max="18" width="36.7109375" style="217" bestFit="1" customWidth="1"/>
    <col min="19" max="19" width="11.42578125" style="217" bestFit="1" customWidth="1"/>
    <col min="20" max="20" width="3.85546875" style="217" bestFit="1" customWidth="1"/>
    <col min="21" max="21" width="6.7109375" style="217" bestFit="1" customWidth="1"/>
    <col min="22" max="22" width="8.28515625" style="217" bestFit="1" customWidth="1"/>
    <col min="23" max="23" width="8.28515625" style="278" bestFit="1" customWidth="1"/>
    <col min="24" max="24" width="5.85546875" style="217" bestFit="1" customWidth="1"/>
    <col min="25" max="26" width="4.5703125" style="278" customWidth="1"/>
    <col min="27" max="27" width="14.28515625" style="217" bestFit="1" customWidth="1"/>
    <col min="28" max="28" width="5.85546875" style="278" bestFit="1" customWidth="1"/>
    <col min="29" max="30" width="5.85546875" style="217" bestFit="1" customWidth="1"/>
    <col min="31" max="31" width="5.85546875" style="278" bestFit="1" customWidth="1"/>
    <col min="32" max="32" width="5.85546875" style="217" bestFit="1" customWidth="1"/>
    <col min="33" max="33" width="13.85546875" style="217" bestFit="1" customWidth="1"/>
    <col min="34" max="34" width="5.85546875" style="278" bestFit="1" customWidth="1"/>
    <col min="35" max="35" width="5.85546875" style="217" bestFit="1" customWidth="1"/>
    <col min="36" max="36" width="16.7109375" style="217" customWidth="1"/>
    <col min="37" max="37" width="15" style="217" bestFit="1" customWidth="1"/>
    <col min="38" max="16384" width="9.28515625" style="218"/>
  </cols>
  <sheetData>
    <row r="1" spans="1:37" ht="36.75" customHeight="1" thickBot="1" x14ac:dyDescent="0.3">
      <c r="A1" s="662" t="s">
        <v>329</v>
      </c>
      <c r="B1" s="662"/>
      <c r="C1" s="662"/>
      <c r="D1" s="662"/>
      <c r="E1" s="662"/>
      <c r="F1" s="662"/>
      <c r="G1" s="662"/>
      <c r="H1" s="662"/>
      <c r="I1" s="662"/>
      <c r="J1" s="662"/>
      <c r="K1" s="662"/>
      <c r="L1" s="662"/>
      <c r="M1" s="662"/>
      <c r="N1" s="662"/>
      <c r="O1" s="662"/>
      <c r="P1" s="662"/>
      <c r="Q1" s="215"/>
      <c r="R1" s="698" t="s">
        <v>83</v>
      </c>
      <c r="S1" s="699"/>
      <c r="T1" s="699"/>
      <c r="U1" s="699"/>
      <c r="V1" s="699"/>
      <c r="W1" s="699"/>
      <c r="X1" s="699"/>
      <c r="Y1" s="699"/>
      <c r="Z1" s="699"/>
      <c r="AA1" s="700"/>
      <c r="AB1" s="215"/>
      <c r="AC1" s="215"/>
      <c r="AD1" s="215"/>
      <c r="AE1" s="215"/>
      <c r="AF1" s="215"/>
      <c r="AG1" s="215"/>
      <c r="AH1" s="215"/>
      <c r="AI1" s="216"/>
    </row>
    <row r="2" spans="1:37" s="220" customFormat="1" ht="38.25" customHeight="1" thickBot="1" x14ac:dyDescent="0.3">
      <c r="A2" s="663" t="s">
        <v>151</v>
      </c>
      <c r="B2" s="663"/>
      <c r="C2" s="663"/>
      <c r="D2" s="663"/>
      <c r="E2" s="663"/>
      <c r="F2" s="663"/>
      <c r="G2" s="663"/>
      <c r="H2" s="663"/>
      <c r="I2" s="663"/>
      <c r="J2" s="663"/>
      <c r="K2" s="663"/>
      <c r="L2" s="663"/>
      <c r="M2" s="663"/>
      <c r="N2" s="663"/>
      <c r="O2" s="663"/>
      <c r="P2" s="663"/>
      <c r="Q2" s="215"/>
      <c r="R2" s="701" t="s">
        <v>58</v>
      </c>
      <c r="S2" s="702"/>
      <c r="T2" s="702"/>
      <c r="U2" s="702"/>
      <c r="V2" s="702"/>
      <c r="W2" s="702"/>
      <c r="X2" s="702"/>
      <c r="Y2" s="702"/>
      <c r="Z2" s="702"/>
      <c r="AA2" s="703"/>
      <c r="AB2" s="215"/>
      <c r="AC2" s="215"/>
      <c r="AD2" s="215"/>
      <c r="AE2" s="215"/>
      <c r="AF2" s="215"/>
      <c r="AG2" s="215"/>
      <c r="AH2" s="215"/>
      <c r="AI2" s="215"/>
      <c r="AJ2" s="664" t="s">
        <v>155</v>
      </c>
      <c r="AK2" s="623" t="s">
        <v>271</v>
      </c>
    </row>
    <row r="3" spans="1:37" s="220" customFormat="1" ht="26.25" customHeight="1" x14ac:dyDescent="0.25">
      <c r="A3" s="663" t="s">
        <v>152</v>
      </c>
      <c r="B3" s="663"/>
      <c r="C3" s="663"/>
      <c r="D3" s="663"/>
      <c r="E3" s="663"/>
      <c r="F3" s="663"/>
      <c r="G3" s="663"/>
      <c r="H3" s="663"/>
      <c r="I3" s="663"/>
      <c r="J3" s="663"/>
      <c r="K3" s="663"/>
      <c r="L3" s="663"/>
      <c r="M3" s="663"/>
      <c r="N3" s="663"/>
      <c r="O3" s="663"/>
      <c r="P3" s="663"/>
      <c r="Q3" s="215"/>
      <c r="R3" s="215"/>
      <c r="S3" s="215"/>
      <c r="T3" s="215"/>
      <c r="U3" s="215"/>
      <c r="V3" s="215"/>
      <c r="W3" s="215"/>
      <c r="X3" s="215"/>
      <c r="Y3" s="215"/>
      <c r="Z3" s="215"/>
      <c r="AA3" s="215"/>
      <c r="AB3" s="215"/>
      <c r="AC3" s="215"/>
      <c r="AD3" s="215"/>
      <c r="AE3" s="215"/>
      <c r="AF3" s="215"/>
      <c r="AG3" s="215"/>
      <c r="AH3" s="215"/>
      <c r="AI3" s="215"/>
      <c r="AJ3" s="664"/>
      <c r="AK3" s="623"/>
    </row>
    <row r="4" spans="1:37" s="220" customFormat="1" ht="26.25" customHeight="1" x14ac:dyDescent="0.25">
      <c r="A4" s="663" t="s">
        <v>153</v>
      </c>
      <c r="B4" s="663"/>
      <c r="C4" s="663"/>
      <c r="D4" s="663"/>
      <c r="E4" s="663"/>
      <c r="F4" s="663"/>
      <c r="G4" s="663"/>
      <c r="H4" s="663"/>
      <c r="I4" s="663"/>
      <c r="J4" s="663"/>
      <c r="K4" s="663"/>
      <c r="L4" s="663"/>
      <c r="M4" s="663"/>
      <c r="N4" s="663"/>
      <c r="O4" s="663"/>
      <c r="P4" s="663"/>
      <c r="Q4" s="221"/>
      <c r="R4" s="216"/>
      <c r="S4" s="216"/>
      <c r="T4" s="216"/>
      <c r="U4" s="216"/>
      <c r="V4" s="216"/>
      <c r="W4" s="222"/>
      <c r="X4" s="216"/>
      <c r="Y4" s="222"/>
      <c r="Z4" s="222"/>
      <c r="AA4" s="216"/>
      <c r="AB4" s="222"/>
      <c r="AC4" s="216"/>
      <c r="AD4" s="216"/>
      <c r="AE4" s="222"/>
      <c r="AF4" s="216"/>
      <c r="AG4" s="216"/>
      <c r="AH4" s="222"/>
      <c r="AI4" s="215"/>
      <c r="AJ4" s="664"/>
      <c r="AK4" s="623"/>
    </row>
    <row r="5" spans="1:37" s="220" customFormat="1" ht="15.75" customHeight="1" x14ac:dyDescent="0.25">
      <c r="A5" s="223"/>
      <c r="B5" s="224"/>
      <c r="C5" s="224"/>
      <c r="D5" s="225"/>
      <c r="E5" s="225"/>
      <c r="F5" s="225"/>
      <c r="G5" s="225"/>
      <c r="H5" s="225"/>
      <c r="I5" s="225"/>
      <c r="J5" s="225"/>
      <c r="K5" s="226"/>
      <c r="L5" s="227"/>
      <c r="M5" s="227"/>
      <c r="N5" s="227"/>
      <c r="O5" s="227"/>
      <c r="P5" s="228"/>
      <c r="Q5" s="221"/>
      <c r="R5" s="216"/>
      <c r="S5" s="216"/>
      <c r="T5" s="216"/>
      <c r="U5" s="216"/>
      <c r="V5" s="216"/>
      <c r="W5" s="222"/>
      <c r="X5" s="216"/>
      <c r="Y5" s="222"/>
      <c r="Z5" s="222"/>
      <c r="AA5" s="216"/>
      <c r="AB5" s="222"/>
      <c r="AC5" s="216"/>
      <c r="AD5" s="216"/>
      <c r="AE5" s="222"/>
      <c r="AF5" s="216"/>
      <c r="AG5" s="216"/>
      <c r="AH5" s="222"/>
      <c r="AI5" s="215"/>
      <c r="AJ5" s="664"/>
      <c r="AK5" s="623"/>
    </row>
    <row r="6" spans="1:37" s="220" customFormat="1" ht="15.75" customHeight="1" x14ac:dyDescent="0.25">
      <c r="A6" s="622" t="s">
        <v>330</v>
      </c>
      <c r="B6" s="622"/>
      <c r="C6" s="622"/>
      <c r="D6" s="622"/>
      <c r="E6" s="622"/>
      <c r="F6" s="622"/>
      <c r="G6" s="225"/>
      <c r="H6" s="225"/>
      <c r="I6" s="225"/>
      <c r="J6" s="225"/>
      <c r="K6" s="226"/>
      <c r="L6" s="227"/>
      <c r="M6" s="227"/>
      <c r="N6" s="227"/>
      <c r="O6" s="227"/>
      <c r="P6" s="228"/>
      <c r="Q6" s="221"/>
      <c r="R6" s="216"/>
      <c r="S6" s="216"/>
      <c r="T6" s="216"/>
      <c r="U6" s="216"/>
      <c r="V6" s="216"/>
      <c r="W6" s="222"/>
      <c r="X6" s="216"/>
      <c r="Y6" s="222"/>
      <c r="Z6" s="222"/>
      <c r="AA6" s="216"/>
      <c r="AB6" s="222"/>
      <c r="AC6" s="216"/>
      <c r="AD6" s="216"/>
      <c r="AE6" s="222"/>
      <c r="AF6" s="216"/>
      <c r="AG6" s="216"/>
      <c r="AH6" s="222"/>
      <c r="AI6" s="215"/>
      <c r="AJ6" s="664"/>
      <c r="AK6" s="623"/>
    </row>
    <row r="7" spans="1:37" s="220" customFormat="1" ht="15.75" customHeight="1" x14ac:dyDescent="0.25">
      <c r="A7" s="622"/>
      <c r="B7" s="622"/>
      <c r="C7" s="622"/>
      <c r="D7" s="622"/>
      <c r="E7" s="622"/>
      <c r="F7" s="622"/>
      <c r="G7" s="225"/>
      <c r="H7" s="225"/>
      <c r="I7" s="225"/>
      <c r="J7" s="225"/>
      <c r="K7" s="226"/>
      <c r="L7" s="227"/>
      <c r="M7" s="227"/>
      <c r="N7" s="227"/>
      <c r="O7" s="227"/>
      <c r="P7" s="640"/>
      <c r="Q7" s="221"/>
      <c r="R7" s="216"/>
      <c r="S7" s="216"/>
      <c r="T7" s="216"/>
      <c r="U7" s="216"/>
      <c r="V7" s="216"/>
      <c r="W7" s="222"/>
      <c r="X7" s="216"/>
      <c r="Y7" s="222"/>
      <c r="Z7" s="222"/>
      <c r="AA7" s="216"/>
      <c r="AB7" s="222"/>
      <c r="AC7" s="216"/>
      <c r="AD7" s="216"/>
      <c r="AE7" s="222"/>
      <c r="AF7" s="216"/>
      <c r="AG7" s="216"/>
      <c r="AH7" s="222"/>
      <c r="AI7" s="215"/>
      <c r="AJ7" s="664"/>
      <c r="AK7" s="623"/>
    </row>
    <row r="8" spans="1:37" s="220" customFormat="1" ht="15.75" customHeight="1" x14ac:dyDescent="0.25">
      <c r="A8" s="622" t="s">
        <v>154</v>
      </c>
      <c r="B8" s="622"/>
      <c r="C8" s="622"/>
      <c r="D8" s="622"/>
      <c r="E8" s="622"/>
      <c r="F8" s="622"/>
      <c r="P8" s="640"/>
      <c r="AJ8" s="664"/>
      <c r="AK8" s="623"/>
    </row>
    <row r="9" spans="1:37" s="220" customFormat="1" ht="15.75" customHeight="1" x14ac:dyDescent="0.25">
      <c r="A9" s="622"/>
      <c r="B9" s="622"/>
      <c r="C9" s="622"/>
      <c r="D9" s="622"/>
      <c r="E9" s="622"/>
      <c r="F9" s="622"/>
      <c r="P9" s="640"/>
      <c r="AJ9" s="664"/>
      <c r="AK9" s="623"/>
    </row>
    <row r="10" spans="1:37" s="220" customFormat="1" ht="15.75" customHeight="1" x14ac:dyDescent="0.25">
      <c r="A10" s="367"/>
      <c r="B10" s="367"/>
      <c r="C10" s="367"/>
      <c r="D10" s="367"/>
      <c r="E10" s="367"/>
      <c r="F10" s="368"/>
      <c r="P10" s="640"/>
      <c r="AJ10" s="664"/>
      <c r="AK10" s="623"/>
    </row>
    <row r="11" spans="1:37" s="220" customFormat="1" ht="61.5" customHeight="1" x14ac:dyDescent="0.3">
      <c r="A11" s="617" t="s">
        <v>166</v>
      </c>
      <c r="B11" s="617"/>
      <c r="C11" s="617"/>
      <c r="D11" s="617"/>
      <c r="E11" s="617"/>
      <c r="F11" s="617"/>
      <c r="G11" s="617"/>
      <c r="H11" s="617"/>
      <c r="I11" s="617"/>
      <c r="J11" s="617"/>
      <c r="K11" s="617"/>
      <c r="L11" s="617"/>
      <c r="P11" s="640"/>
      <c r="AJ11" s="664"/>
      <c r="AK11" s="623"/>
    </row>
    <row r="12" spans="1:37" s="220" customFormat="1" ht="15.75" customHeight="1" x14ac:dyDescent="0.25">
      <c r="A12" s="313"/>
      <c r="B12" s="313"/>
      <c r="C12" s="313"/>
      <c r="D12" s="313"/>
      <c r="E12" s="313"/>
      <c r="P12" s="640"/>
      <c r="AJ12" s="664"/>
      <c r="AK12" s="624"/>
    </row>
    <row r="13" spans="1:37" s="213" customFormat="1" ht="15.75" x14ac:dyDescent="0.25">
      <c r="A13" s="637" t="s">
        <v>331</v>
      </c>
      <c r="B13" s="638"/>
      <c r="C13" s="639"/>
      <c r="D13" s="231">
        <v>1</v>
      </c>
      <c r="E13" s="231">
        <v>2</v>
      </c>
      <c r="F13" s="231">
        <v>3</v>
      </c>
      <c r="G13" s="231">
        <v>4</v>
      </c>
      <c r="H13" s="231">
        <v>5</v>
      </c>
      <c r="I13" s="231">
        <v>6</v>
      </c>
      <c r="J13" s="231">
        <v>7</v>
      </c>
      <c r="K13" s="231">
        <v>8</v>
      </c>
      <c r="L13" s="231">
        <v>9</v>
      </c>
      <c r="M13" s="231">
        <v>10</v>
      </c>
      <c r="N13" s="231">
        <v>11</v>
      </c>
      <c r="O13" s="232">
        <v>12</v>
      </c>
      <c r="P13" s="231">
        <v>13</v>
      </c>
      <c r="Q13" s="233">
        <v>14</v>
      </c>
      <c r="R13" s="231">
        <v>15</v>
      </c>
      <c r="S13" s="231">
        <v>16</v>
      </c>
      <c r="T13" s="231">
        <v>17</v>
      </c>
      <c r="U13" s="231">
        <v>18</v>
      </c>
      <c r="V13" s="231">
        <v>19</v>
      </c>
      <c r="W13" s="231">
        <v>20</v>
      </c>
      <c r="X13" s="231">
        <v>21</v>
      </c>
      <c r="Y13" s="231">
        <v>22</v>
      </c>
      <c r="Z13" s="231">
        <v>23</v>
      </c>
      <c r="AA13" s="231">
        <v>24</v>
      </c>
      <c r="AB13" s="231">
        <v>25</v>
      </c>
      <c r="AC13" s="231">
        <v>26</v>
      </c>
      <c r="AD13" s="231">
        <v>27</v>
      </c>
      <c r="AE13" s="231">
        <v>28</v>
      </c>
      <c r="AF13" s="231">
        <v>29</v>
      </c>
      <c r="AG13" s="231">
        <v>30</v>
      </c>
      <c r="AH13" s="231">
        <v>31</v>
      </c>
      <c r="AI13" s="232">
        <v>32</v>
      </c>
      <c r="AJ13" s="231">
        <v>33</v>
      </c>
      <c r="AK13" s="231">
        <v>34</v>
      </c>
    </row>
    <row r="14" spans="1:37" s="240" customFormat="1" ht="120.75" customHeight="1" thickBot="1" x14ac:dyDescent="0.3">
      <c r="A14" s="707"/>
      <c r="B14" s="708"/>
      <c r="C14" s="709"/>
      <c r="D14" s="491" t="s">
        <v>22</v>
      </c>
      <c r="E14" s="491" t="s">
        <v>23</v>
      </c>
      <c r="F14" s="491" t="s">
        <v>24</v>
      </c>
      <c r="G14" s="491" t="s">
        <v>25</v>
      </c>
      <c r="H14" s="491" t="s">
        <v>19</v>
      </c>
      <c r="I14" s="491" t="s">
        <v>20</v>
      </c>
      <c r="J14" s="491" t="s">
        <v>21</v>
      </c>
      <c r="K14" s="491" t="s">
        <v>26</v>
      </c>
      <c r="L14" s="491" t="s">
        <v>27</v>
      </c>
      <c r="M14" s="491" t="s">
        <v>28</v>
      </c>
      <c r="N14" s="491" t="s">
        <v>29</v>
      </c>
      <c r="O14" s="492" t="s">
        <v>0</v>
      </c>
      <c r="P14" s="493" t="s">
        <v>1</v>
      </c>
      <c r="Q14" s="494" t="s">
        <v>30</v>
      </c>
      <c r="R14" s="491" t="s">
        <v>2</v>
      </c>
      <c r="S14" s="491" t="s">
        <v>31</v>
      </c>
      <c r="T14" s="491" t="s">
        <v>32</v>
      </c>
      <c r="U14" s="491" t="s">
        <v>47</v>
      </c>
      <c r="V14" s="491" t="s">
        <v>48</v>
      </c>
      <c r="W14" s="493" t="s">
        <v>49</v>
      </c>
      <c r="X14" s="491" t="s">
        <v>33</v>
      </c>
      <c r="Y14" s="493" t="s">
        <v>34</v>
      </c>
      <c r="Z14" s="493" t="s">
        <v>35</v>
      </c>
      <c r="AA14" s="491" t="s">
        <v>36</v>
      </c>
      <c r="AB14" s="495" t="s">
        <v>37</v>
      </c>
      <c r="AC14" s="491" t="s">
        <v>38</v>
      </c>
      <c r="AD14" s="491" t="s">
        <v>39</v>
      </c>
      <c r="AE14" s="493" t="s">
        <v>40</v>
      </c>
      <c r="AF14" s="491" t="s">
        <v>41</v>
      </c>
      <c r="AG14" s="491" t="s">
        <v>42</v>
      </c>
      <c r="AH14" s="493" t="s">
        <v>43</v>
      </c>
      <c r="AI14" s="492" t="s">
        <v>44</v>
      </c>
      <c r="AJ14" s="491" t="s">
        <v>45</v>
      </c>
      <c r="AK14" s="496" t="s">
        <v>46</v>
      </c>
    </row>
    <row r="15" spans="1:37" s="213" customFormat="1" ht="39" customHeight="1" thickBot="1" x14ac:dyDescent="0.3">
      <c r="A15" s="479" t="s">
        <v>156</v>
      </c>
      <c r="B15" s="684" t="s">
        <v>157</v>
      </c>
      <c r="C15" s="684"/>
      <c r="D15" s="480" t="s">
        <v>135</v>
      </c>
      <c r="E15" s="480">
        <v>1</v>
      </c>
      <c r="F15" s="480" t="s">
        <v>5</v>
      </c>
      <c r="G15" s="480"/>
      <c r="H15" s="480" t="s">
        <v>136</v>
      </c>
      <c r="I15" s="480" t="s">
        <v>137</v>
      </c>
      <c r="J15" s="480">
        <v>87106</v>
      </c>
      <c r="K15" s="480" t="s">
        <v>150</v>
      </c>
      <c r="L15" s="480">
        <v>459012345</v>
      </c>
      <c r="M15" s="480">
        <v>1</v>
      </c>
      <c r="N15" s="480">
        <v>1</v>
      </c>
      <c r="O15" s="480">
        <v>1</v>
      </c>
      <c r="P15" s="481">
        <v>4.99</v>
      </c>
      <c r="Q15" s="482">
        <v>840170601054</v>
      </c>
      <c r="R15" s="480" t="s">
        <v>272</v>
      </c>
      <c r="S15" s="480" t="s">
        <v>133</v>
      </c>
      <c r="T15" s="480" t="s">
        <v>8</v>
      </c>
      <c r="U15" s="480"/>
      <c r="V15" s="480"/>
      <c r="W15" s="481"/>
      <c r="X15" s="480"/>
      <c r="Y15" s="481"/>
      <c r="Z15" s="481"/>
      <c r="AA15" s="480"/>
      <c r="AB15" s="481"/>
      <c r="AC15" s="480"/>
      <c r="AD15" s="480"/>
      <c r="AE15" s="481"/>
      <c r="AF15" s="480"/>
      <c r="AG15" s="480" t="s">
        <v>119</v>
      </c>
      <c r="AH15" s="481">
        <v>1</v>
      </c>
      <c r="AI15" s="480"/>
      <c r="AJ15" s="480"/>
      <c r="AK15" s="483"/>
    </row>
    <row r="16" spans="1:37" s="211" customFormat="1" ht="14.25" customHeight="1" thickBot="1" x14ac:dyDescent="0.3">
      <c r="A16" s="490"/>
      <c r="B16" s="467"/>
      <c r="C16" s="468"/>
      <c r="D16" s="469"/>
      <c r="E16" s="469"/>
      <c r="F16" s="469"/>
      <c r="G16" s="469"/>
      <c r="H16" s="469"/>
      <c r="I16" s="469"/>
      <c r="J16" s="469"/>
      <c r="K16" s="469"/>
      <c r="L16" s="469"/>
      <c r="M16" s="469"/>
      <c r="N16" s="469"/>
      <c r="O16" s="469"/>
      <c r="P16" s="470"/>
      <c r="Q16" s="471"/>
      <c r="R16" s="469"/>
      <c r="S16" s="469"/>
      <c r="T16" s="469"/>
      <c r="U16" s="469"/>
      <c r="V16" s="469"/>
      <c r="W16" s="469"/>
      <c r="X16" s="469"/>
      <c r="Y16" s="469"/>
      <c r="Z16" s="469"/>
      <c r="AA16" s="469"/>
      <c r="AB16" s="470"/>
      <c r="AC16" s="469"/>
      <c r="AD16" s="469"/>
      <c r="AE16" s="469"/>
      <c r="AF16" s="469"/>
      <c r="AG16" s="469"/>
      <c r="AH16" s="469"/>
      <c r="AI16" s="469"/>
      <c r="AJ16" s="469"/>
      <c r="AK16" s="472"/>
    </row>
    <row r="17" spans="1:37" s="211" customFormat="1" ht="65.25" customHeight="1" thickBot="1" x14ac:dyDescent="0.3">
      <c r="A17" s="280" t="s">
        <v>279</v>
      </c>
      <c r="B17" s="281" t="s">
        <v>277</v>
      </c>
      <c r="C17" s="282" t="s">
        <v>159</v>
      </c>
      <c r="D17" s="283" t="s">
        <v>135</v>
      </c>
      <c r="E17" s="283">
        <v>1</v>
      </c>
      <c r="F17" s="283" t="s">
        <v>5</v>
      </c>
      <c r="G17" s="283"/>
      <c r="H17" s="283" t="s">
        <v>136</v>
      </c>
      <c r="I17" s="283" t="s">
        <v>137</v>
      </c>
      <c r="J17" s="283">
        <v>87106</v>
      </c>
      <c r="K17" s="283" t="s">
        <v>150</v>
      </c>
      <c r="L17" s="284">
        <v>459098765</v>
      </c>
      <c r="M17" s="283">
        <v>1</v>
      </c>
      <c r="N17" s="283">
        <v>1</v>
      </c>
      <c r="O17" s="283">
        <v>2</v>
      </c>
      <c r="P17" s="285">
        <v>4.49</v>
      </c>
      <c r="Q17" s="286">
        <v>840170601054</v>
      </c>
      <c r="R17" s="283" t="s">
        <v>272</v>
      </c>
      <c r="S17" s="283" t="s">
        <v>133</v>
      </c>
      <c r="T17" s="287" t="s">
        <v>13</v>
      </c>
      <c r="U17" s="283"/>
      <c r="V17" s="283"/>
      <c r="W17" s="288"/>
      <c r="X17" s="283"/>
      <c r="Y17" s="288"/>
      <c r="Z17" s="288"/>
      <c r="AA17" s="283"/>
      <c r="AB17" s="285">
        <v>0.5</v>
      </c>
      <c r="AC17" s="283"/>
      <c r="AD17" s="283"/>
      <c r="AE17" s="288"/>
      <c r="AF17" s="283"/>
      <c r="AG17" s="359" t="s">
        <v>119</v>
      </c>
      <c r="AH17" s="374">
        <v>1</v>
      </c>
      <c r="AI17" s="283"/>
      <c r="AJ17" s="287" t="s">
        <v>139</v>
      </c>
      <c r="AK17" s="289">
        <v>40123</v>
      </c>
    </row>
    <row r="18" spans="1:37" s="211" customFormat="1" ht="14.25" customHeight="1" thickBot="1" x14ac:dyDescent="0.3">
      <c r="A18" s="490"/>
      <c r="B18" s="467"/>
      <c r="C18" s="468"/>
      <c r="D18" s="469"/>
      <c r="E18" s="469"/>
      <c r="F18" s="469"/>
      <c r="G18" s="469"/>
      <c r="H18" s="469"/>
      <c r="I18" s="469"/>
      <c r="J18" s="469"/>
      <c r="K18" s="469"/>
      <c r="L18" s="469"/>
      <c r="M18" s="469"/>
      <c r="N18" s="469"/>
      <c r="O18" s="469"/>
      <c r="P18" s="470"/>
      <c r="Q18" s="471"/>
      <c r="R18" s="469"/>
      <c r="S18" s="469"/>
      <c r="T18" s="469"/>
      <c r="U18" s="469"/>
      <c r="V18" s="469"/>
      <c r="W18" s="469"/>
      <c r="X18" s="469"/>
      <c r="Y18" s="469"/>
      <c r="Z18" s="469"/>
      <c r="AA18" s="469"/>
      <c r="AB18" s="470"/>
      <c r="AC18" s="469"/>
      <c r="AD18" s="469"/>
      <c r="AE18" s="469"/>
      <c r="AF18" s="469"/>
      <c r="AG18" s="469"/>
      <c r="AH18" s="469"/>
      <c r="AI18" s="469"/>
      <c r="AJ18" s="469"/>
      <c r="AK18" s="472"/>
    </row>
    <row r="19" spans="1:37" s="211" customFormat="1" ht="39" customHeight="1" x14ac:dyDescent="0.25">
      <c r="A19" s="671" t="s">
        <v>280</v>
      </c>
      <c r="B19" s="633" t="s">
        <v>278</v>
      </c>
      <c r="C19" s="679" t="s">
        <v>201</v>
      </c>
      <c r="D19" s="294" t="s">
        <v>135</v>
      </c>
      <c r="E19" s="294">
        <v>1</v>
      </c>
      <c r="F19" s="294" t="s">
        <v>5</v>
      </c>
      <c r="G19" s="294"/>
      <c r="H19" s="294" t="s">
        <v>136</v>
      </c>
      <c r="I19" s="294" t="s">
        <v>137</v>
      </c>
      <c r="J19" s="294">
        <v>87106</v>
      </c>
      <c r="K19" s="294" t="s">
        <v>150</v>
      </c>
      <c r="L19" s="333">
        <v>45998769</v>
      </c>
      <c r="M19" s="294">
        <v>1</v>
      </c>
      <c r="N19" s="294">
        <v>1</v>
      </c>
      <c r="O19" s="294">
        <v>1</v>
      </c>
      <c r="P19" s="295">
        <v>4.49</v>
      </c>
      <c r="Q19" s="296">
        <v>840170601054</v>
      </c>
      <c r="R19" s="294" t="s">
        <v>272</v>
      </c>
      <c r="S19" s="294" t="s">
        <v>133</v>
      </c>
      <c r="T19" s="297" t="s">
        <v>13</v>
      </c>
      <c r="U19" s="294"/>
      <c r="V19" s="294"/>
      <c r="W19" s="298"/>
      <c r="X19" s="294"/>
      <c r="Y19" s="298"/>
      <c r="Z19" s="298"/>
      <c r="AA19" s="294"/>
      <c r="AB19" s="295">
        <v>0.5</v>
      </c>
      <c r="AC19" s="294"/>
      <c r="AD19" s="294"/>
      <c r="AE19" s="298"/>
      <c r="AF19" s="294"/>
      <c r="AG19" s="363" t="s">
        <v>119</v>
      </c>
      <c r="AH19" s="375">
        <v>1</v>
      </c>
      <c r="AI19" s="294"/>
      <c r="AJ19" s="297" t="s">
        <v>139</v>
      </c>
      <c r="AK19" s="299">
        <v>40123</v>
      </c>
    </row>
    <row r="20" spans="1:37" s="211" customFormat="1" ht="39" customHeight="1" thickBot="1" x14ac:dyDescent="0.3">
      <c r="A20" s="672"/>
      <c r="B20" s="634"/>
      <c r="C20" s="681"/>
      <c r="D20" s="300" t="s">
        <v>135</v>
      </c>
      <c r="E20" s="300">
        <v>1</v>
      </c>
      <c r="F20" s="300" t="s">
        <v>5</v>
      </c>
      <c r="G20" s="300"/>
      <c r="H20" s="300" t="s">
        <v>136</v>
      </c>
      <c r="I20" s="300" t="s">
        <v>137</v>
      </c>
      <c r="J20" s="300">
        <v>87106</v>
      </c>
      <c r="K20" s="300" t="s">
        <v>150</v>
      </c>
      <c r="L20" s="334">
        <v>45998769</v>
      </c>
      <c r="M20" s="300">
        <v>5</v>
      </c>
      <c r="N20" s="300">
        <v>1</v>
      </c>
      <c r="O20" s="300">
        <v>1</v>
      </c>
      <c r="P20" s="301">
        <v>4.49</v>
      </c>
      <c r="Q20" s="302">
        <v>840170601054</v>
      </c>
      <c r="R20" s="300" t="s">
        <v>272</v>
      </c>
      <c r="S20" s="300" t="s">
        <v>133</v>
      </c>
      <c r="T20" s="303" t="s">
        <v>13</v>
      </c>
      <c r="U20" s="300"/>
      <c r="V20" s="300"/>
      <c r="W20" s="304"/>
      <c r="X20" s="300"/>
      <c r="Y20" s="304"/>
      <c r="Z20" s="304"/>
      <c r="AA20" s="300"/>
      <c r="AB20" s="301">
        <v>0.5</v>
      </c>
      <c r="AC20" s="300"/>
      <c r="AD20" s="300"/>
      <c r="AE20" s="304"/>
      <c r="AF20" s="300"/>
      <c r="AG20" s="364" t="s">
        <v>119</v>
      </c>
      <c r="AH20" s="376">
        <v>1</v>
      </c>
      <c r="AI20" s="300"/>
      <c r="AJ20" s="303" t="s">
        <v>139</v>
      </c>
      <c r="AK20" s="310">
        <v>40123</v>
      </c>
    </row>
    <row r="21" spans="1:37" s="211" customFormat="1" ht="14.25" customHeight="1" thickBot="1" x14ac:dyDescent="0.3">
      <c r="A21" s="490"/>
      <c r="B21" s="467"/>
      <c r="C21" s="468"/>
      <c r="D21" s="469"/>
      <c r="E21" s="469"/>
      <c r="F21" s="469"/>
      <c r="G21" s="469"/>
      <c r="H21" s="469"/>
      <c r="I21" s="469"/>
      <c r="J21" s="469"/>
      <c r="K21" s="469"/>
      <c r="L21" s="469"/>
      <c r="M21" s="469"/>
      <c r="N21" s="469"/>
      <c r="O21" s="469"/>
      <c r="P21" s="470"/>
      <c r="Q21" s="471"/>
      <c r="R21" s="469"/>
      <c r="S21" s="469"/>
      <c r="T21" s="469"/>
      <c r="U21" s="469"/>
      <c r="V21" s="469"/>
      <c r="W21" s="469"/>
      <c r="X21" s="469"/>
      <c r="Y21" s="469"/>
      <c r="Z21" s="469"/>
      <c r="AA21" s="469"/>
      <c r="AB21" s="470"/>
      <c r="AC21" s="469"/>
      <c r="AD21" s="469"/>
      <c r="AE21" s="469"/>
      <c r="AF21" s="469"/>
      <c r="AG21" s="469"/>
      <c r="AH21" s="469"/>
      <c r="AI21" s="469"/>
      <c r="AJ21" s="469"/>
      <c r="AK21" s="472"/>
    </row>
    <row r="22" spans="1:37" ht="19.5" thickBot="1" x14ac:dyDescent="0.35"/>
    <row r="23" spans="1:37" s="262" customFormat="1" ht="24.75" customHeight="1" thickBot="1" x14ac:dyDescent="0.3">
      <c r="A23" s="710" t="s">
        <v>202</v>
      </c>
      <c r="B23" s="711"/>
      <c r="C23" s="711"/>
      <c r="D23" s="711"/>
      <c r="E23" s="711"/>
      <c r="F23" s="711"/>
      <c r="G23" s="711"/>
      <c r="H23" s="711"/>
      <c r="I23" s="711"/>
      <c r="J23" s="711"/>
      <c r="K23" s="711"/>
      <c r="L23" s="711"/>
      <c r="M23" s="711"/>
      <c r="N23" s="711"/>
      <c r="O23" s="711"/>
      <c r="P23" s="711"/>
      <c r="Q23" s="711"/>
      <c r="R23" s="711"/>
      <c r="S23" s="711"/>
      <c r="T23" s="711"/>
      <c r="U23" s="711"/>
      <c r="V23" s="711"/>
      <c r="W23" s="711"/>
      <c r="X23" s="711"/>
      <c r="Y23" s="711"/>
      <c r="Z23" s="711"/>
      <c r="AA23" s="711"/>
      <c r="AB23" s="711"/>
      <c r="AC23" s="711"/>
      <c r="AD23" s="711"/>
      <c r="AE23" s="712"/>
    </row>
    <row r="24" spans="1:37" s="211" customFormat="1" ht="14.25" customHeight="1" thickBot="1" x14ac:dyDescent="0.3">
      <c r="A24" s="490"/>
      <c r="B24" s="467"/>
      <c r="C24" s="468"/>
      <c r="D24" s="469"/>
      <c r="E24" s="469"/>
      <c r="F24" s="469"/>
      <c r="G24" s="469"/>
      <c r="H24" s="469"/>
      <c r="I24" s="469"/>
      <c r="J24" s="469"/>
      <c r="K24" s="469"/>
      <c r="L24" s="469"/>
      <c r="M24" s="469"/>
      <c r="N24" s="469"/>
      <c r="O24" s="469"/>
      <c r="P24" s="470"/>
      <c r="Q24" s="471"/>
      <c r="R24" s="469"/>
      <c r="S24" s="469"/>
      <c r="T24" s="469"/>
      <c r="U24" s="469"/>
      <c r="V24" s="469"/>
      <c r="W24" s="469"/>
      <c r="X24" s="469"/>
      <c r="Y24" s="469"/>
      <c r="Z24" s="469"/>
      <c r="AA24" s="469"/>
      <c r="AB24" s="470"/>
      <c r="AC24" s="469"/>
      <c r="AD24" s="469"/>
      <c r="AE24" s="469"/>
      <c r="AF24" s="469"/>
      <c r="AG24" s="469"/>
      <c r="AH24" s="469"/>
      <c r="AI24" s="469"/>
      <c r="AJ24" s="469"/>
      <c r="AK24" s="472"/>
    </row>
    <row r="25" spans="1:37" s="211" customFormat="1" ht="45" customHeight="1" x14ac:dyDescent="0.25">
      <c r="A25" s="631" t="s">
        <v>281</v>
      </c>
      <c r="B25" s="682" t="s">
        <v>282</v>
      </c>
      <c r="C25" s="679" t="s">
        <v>161</v>
      </c>
      <c r="D25" s="294" t="s">
        <v>135</v>
      </c>
      <c r="E25" s="294">
        <v>1</v>
      </c>
      <c r="F25" s="294" t="s">
        <v>5</v>
      </c>
      <c r="G25" s="294"/>
      <c r="H25" s="294" t="s">
        <v>136</v>
      </c>
      <c r="I25" s="294" t="s">
        <v>137</v>
      </c>
      <c r="J25" s="294">
        <v>87106</v>
      </c>
      <c r="K25" s="294" t="s">
        <v>150</v>
      </c>
      <c r="L25" s="333">
        <v>45998766</v>
      </c>
      <c r="M25" s="294">
        <v>1</v>
      </c>
      <c r="N25" s="294">
        <v>1</v>
      </c>
      <c r="O25" s="297">
        <v>2</v>
      </c>
      <c r="P25" s="295">
        <v>4.49</v>
      </c>
      <c r="Q25" s="296">
        <v>840170601054</v>
      </c>
      <c r="R25" s="294" t="s">
        <v>272</v>
      </c>
      <c r="S25" s="294" t="s">
        <v>133</v>
      </c>
      <c r="T25" s="297" t="s">
        <v>13</v>
      </c>
      <c r="U25" s="294"/>
      <c r="V25" s="294"/>
      <c r="W25" s="294"/>
      <c r="X25" s="294"/>
      <c r="Y25" s="294"/>
      <c r="Z25" s="294"/>
      <c r="AA25" s="294"/>
      <c r="AB25" s="295">
        <v>0.5</v>
      </c>
      <c r="AC25" s="294"/>
      <c r="AD25" s="294"/>
      <c r="AE25" s="294"/>
      <c r="AF25" s="294"/>
      <c r="AG25" s="363" t="s">
        <v>119</v>
      </c>
      <c r="AH25" s="375">
        <v>1</v>
      </c>
      <c r="AI25" s="294"/>
      <c r="AJ25" s="297" t="s">
        <v>139</v>
      </c>
      <c r="AK25" s="299">
        <v>40123</v>
      </c>
    </row>
    <row r="26" spans="1:37" s="211" customFormat="1" ht="45" customHeight="1" thickBot="1" x14ac:dyDescent="0.3">
      <c r="A26" s="632"/>
      <c r="B26" s="683"/>
      <c r="C26" s="681"/>
      <c r="D26" s="300" t="s">
        <v>135</v>
      </c>
      <c r="E26" s="300">
        <v>1</v>
      </c>
      <c r="F26" s="300" t="s">
        <v>5</v>
      </c>
      <c r="G26" s="300"/>
      <c r="H26" s="300" t="s">
        <v>136</v>
      </c>
      <c r="I26" s="300" t="s">
        <v>137</v>
      </c>
      <c r="J26" s="300">
        <v>87106</v>
      </c>
      <c r="K26" s="300" t="s">
        <v>150</v>
      </c>
      <c r="L26" s="334">
        <v>45998766</v>
      </c>
      <c r="M26" s="300">
        <v>2</v>
      </c>
      <c r="N26" s="300">
        <v>1</v>
      </c>
      <c r="O26" s="300">
        <v>1</v>
      </c>
      <c r="P26" s="304">
        <v>4.99</v>
      </c>
      <c r="Q26" s="302">
        <v>840170601054</v>
      </c>
      <c r="R26" s="300" t="s">
        <v>272</v>
      </c>
      <c r="S26" s="300" t="s">
        <v>133</v>
      </c>
      <c r="T26" s="365" t="s">
        <v>8</v>
      </c>
      <c r="U26" s="300"/>
      <c r="V26" s="300"/>
      <c r="W26" s="300"/>
      <c r="X26" s="300"/>
      <c r="Y26" s="300"/>
      <c r="Z26" s="300"/>
      <c r="AA26" s="300"/>
      <c r="AB26" s="304"/>
      <c r="AC26" s="300"/>
      <c r="AD26" s="300"/>
      <c r="AE26" s="300"/>
      <c r="AF26" s="300"/>
      <c r="AG26" s="364" t="s">
        <v>119</v>
      </c>
      <c r="AH26" s="376">
        <v>1</v>
      </c>
      <c r="AI26" s="300"/>
      <c r="AJ26" s="366" t="s">
        <v>139</v>
      </c>
      <c r="AK26" s="307"/>
    </row>
    <row r="27" spans="1:37" s="211" customFormat="1" ht="14.25" customHeight="1" thickBot="1" x14ac:dyDescent="0.3">
      <c r="A27" s="490"/>
      <c r="B27" s="467"/>
      <c r="C27" s="468"/>
      <c r="D27" s="469"/>
      <c r="E27" s="469"/>
      <c r="F27" s="469"/>
      <c r="G27" s="469"/>
      <c r="H27" s="469"/>
      <c r="I27" s="469"/>
      <c r="J27" s="469"/>
      <c r="K27" s="469"/>
      <c r="L27" s="469"/>
      <c r="M27" s="469"/>
      <c r="N27" s="469"/>
      <c r="O27" s="469"/>
      <c r="P27" s="470"/>
      <c r="Q27" s="471"/>
      <c r="R27" s="469"/>
      <c r="S27" s="469"/>
      <c r="T27" s="469"/>
      <c r="U27" s="469"/>
      <c r="V27" s="469"/>
      <c r="W27" s="469"/>
      <c r="X27" s="469"/>
      <c r="Y27" s="469"/>
      <c r="Z27" s="469"/>
      <c r="AA27" s="469"/>
      <c r="AB27" s="470"/>
      <c r="AC27" s="469"/>
      <c r="AD27" s="469"/>
      <c r="AE27" s="469"/>
      <c r="AF27" s="469"/>
      <c r="AG27" s="469"/>
      <c r="AH27" s="469"/>
      <c r="AI27" s="469"/>
      <c r="AJ27" s="469"/>
      <c r="AK27" s="472"/>
    </row>
    <row r="28" spans="1:37" s="211" customFormat="1" ht="59.25" customHeight="1" thickBot="1" x14ac:dyDescent="0.3">
      <c r="A28" s="357" t="s">
        <v>283</v>
      </c>
      <c r="B28" s="358" t="s">
        <v>282</v>
      </c>
      <c r="C28" s="282" t="s">
        <v>164</v>
      </c>
      <c r="D28" s="283" t="s">
        <v>135</v>
      </c>
      <c r="E28" s="283">
        <v>1</v>
      </c>
      <c r="F28" s="283" t="s">
        <v>5</v>
      </c>
      <c r="G28" s="283"/>
      <c r="H28" s="283" t="s">
        <v>136</v>
      </c>
      <c r="I28" s="283" t="s">
        <v>137</v>
      </c>
      <c r="J28" s="283">
        <v>87106</v>
      </c>
      <c r="K28" s="283" t="s">
        <v>150</v>
      </c>
      <c r="L28" s="284">
        <v>45998766</v>
      </c>
      <c r="M28" s="283">
        <v>1</v>
      </c>
      <c r="N28" s="283">
        <v>1</v>
      </c>
      <c r="O28" s="360">
        <v>3</v>
      </c>
      <c r="P28" s="361">
        <v>4.66</v>
      </c>
      <c r="Q28" s="286">
        <v>840170601054</v>
      </c>
      <c r="R28" s="283" t="s">
        <v>272</v>
      </c>
      <c r="S28" s="283" t="s">
        <v>133</v>
      </c>
      <c r="T28" s="287" t="s">
        <v>13</v>
      </c>
      <c r="U28" s="283"/>
      <c r="V28" s="283"/>
      <c r="W28" s="283"/>
      <c r="X28" s="283"/>
      <c r="Y28" s="283"/>
      <c r="Z28" s="283"/>
      <c r="AA28" s="283"/>
      <c r="AB28" s="361">
        <v>0.33</v>
      </c>
      <c r="AC28" s="283"/>
      <c r="AD28" s="283"/>
      <c r="AE28" s="283"/>
      <c r="AF28" s="283"/>
      <c r="AG28" s="359" t="s">
        <v>119</v>
      </c>
      <c r="AH28" s="374">
        <v>1</v>
      </c>
      <c r="AI28" s="283"/>
      <c r="AJ28" s="287" t="s">
        <v>139</v>
      </c>
      <c r="AK28" s="289">
        <v>20722</v>
      </c>
    </row>
    <row r="29" spans="1:37" s="211" customFormat="1" ht="14.25" customHeight="1" thickBot="1" x14ac:dyDescent="0.3">
      <c r="A29" s="490"/>
      <c r="B29" s="467"/>
      <c r="C29" s="468"/>
      <c r="D29" s="469"/>
      <c r="E29" s="469"/>
      <c r="F29" s="469"/>
      <c r="G29" s="469"/>
      <c r="H29" s="469"/>
      <c r="I29" s="469"/>
      <c r="J29" s="469"/>
      <c r="K29" s="469"/>
      <c r="L29" s="469"/>
      <c r="M29" s="469"/>
      <c r="N29" s="469"/>
      <c r="O29" s="469"/>
      <c r="P29" s="470"/>
      <c r="Q29" s="471"/>
      <c r="R29" s="469"/>
      <c r="S29" s="469"/>
      <c r="T29" s="469"/>
      <c r="U29" s="469"/>
      <c r="V29" s="469"/>
      <c r="W29" s="469"/>
      <c r="X29" s="469"/>
      <c r="Y29" s="469"/>
      <c r="Z29" s="469"/>
      <c r="AA29" s="469"/>
      <c r="AB29" s="470"/>
      <c r="AC29" s="469"/>
      <c r="AD29" s="469"/>
      <c r="AE29" s="469"/>
      <c r="AF29" s="469"/>
      <c r="AG29" s="469"/>
      <c r="AH29" s="469"/>
      <c r="AI29" s="469"/>
      <c r="AJ29" s="469"/>
      <c r="AK29" s="472"/>
    </row>
    <row r="30" spans="1:37" ht="25.5" customHeight="1" thickBot="1" x14ac:dyDescent="0.35"/>
    <row r="31" spans="1:37" s="213" customFormat="1" ht="39" customHeight="1" thickBot="1" x14ac:dyDescent="0.3">
      <c r="A31" s="429"/>
      <c r="B31" s="704" t="s">
        <v>157</v>
      </c>
      <c r="C31" s="704"/>
      <c r="D31" s="430" t="s">
        <v>135</v>
      </c>
      <c r="E31" s="430">
        <v>1</v>
      </c>
      <c r="F31" s="430" t="s">
        <v>5</v>
      </c>
      <c r="G31" s="430"/>
      <c r="H31" s="430" t="s">
        <v>136</v>
      </c>
      <c r="I31" s="430" t="s">
        <v>137</v>
      </c>
      <c r="J31" s="430">
        <v>87106</v>
      </c>
      <c r="K31" s="430" t="s">
        <v>150</v>
      </c>
      <c r="L31" s="430">
        <v>459012345</v>
      </c>
      <c r="M31" s="430">
        <v>2</v>
      </c>
      <c r="N31" s="430">
        <v>1</v>
      </c>
      <c r="O31" s="430">
        <v>1</v>
      </c>
      <c r="P31" s="431">
        <v>24.95</v>
      </c>
      <c r="Q31" s="432">
        <v>840170601061</v>
      </c>
      <c r="R31" s="432" t="s">
        <v>272</v>
      </c>
      <c r="S31" s="430" t="s">
        <v>141</v>
      </c>
      <c r="T31" s="430"/>
      <c r="U31" s="430"/>
      <c r="V31" s="430"/>
      <c r="W31" s="431"/>
      <c r="X31" s="430"/>
      <c r="Y31" s="431"/>
      <c r="Z31" s="431"/>
      <c r="AA31" s="430"/>
      <c r="AB31" s="431"/>
      <c r="AC31" s="430"/>
      <c r="AD31" s="430"/>
      <c r="AE31" s="431"/>
      <c r="AF31" s="430"/>
      <c r="AG31" s="430" t="s">
        <v>119</v>
      </c>
      <c r="AH31" s="431">
        <v>5</v>
      </c>
      <c r="AI31" s="430"/>
      <c r="AJ31" s="430"/>
      <c r="AK31" s="433"/>
    </row>
    <row r="32" spans="1:37" s="211" customFormat="1" ht="14.25" customHeight="1" thickBot="1" x14ac:dyDescent="0.3">
      <c r="A32" s="490"/>
      <c r="B32" s="467"/>
      <c r="C32" s="468"/>
      <c r="D32" s="469"/>
      <c r="E32" s="469"/>
      <c r="F32" s="469"/>
      <c r="G32" s="469"/>
      <c r="H32" s="469"/>
      <c r="I32" s="469"/>
      <c r="J32" s="469"/>
      <c r="K32" s="469"/>
      <c r="L32" s="469"/>
      <c r="M32" s="469"/>
      <c r="N32" s="469"/>
      <c r="O32" s="469"/>
      <c r="P32" s="470"/>
      <c r="Q32" s="471"/>
      <c r="R32" s="469"/>
      <c r="S32" s="469"/>
      <c r="T32" s="469"/>
      <c r="U32" s="469"/>
      <c r="V32" s="469"/>
      <c r="W32" s="469"/>
      <c r="X32" s="469"/>
      <c r="Y32" s="469"/>
      <c r="Z32" s="469"/>
      <c r="AA32" s="469"/>
      <c r="AB32" s="470"/>
      <c r="AC32" s="469"/>
      <c r="AD32" s="469"/>
      <c r="AE32" s="469"/>
      <c r="AF32" s="469"/>
      <c r="AG32" s="469"/>
      <c r="AH32" s="469"/>
      <c r="AI32" s="469"/>
      <c r="AJ32" s="469"/>
      <c r="AK32" s="472"/>
    </row>
    <row r="33" spans="1:37" s="211" customFormat="1" ht="65.25" customHeight="1" thickBot="1" x14ac:dyDescent="0.3">
      <c r="A33" s="280">
        <v>55</v>
      </c>
      <c r="B33" s="281" t="s">
        <v>284</v>
      </c>
      <c r="C33" s="282" t="s">
        <v>159</v>
      </c>
      <c r="D33" s="283" t="s">
        <v>135</v>
      </c>
      <c r="E33" s="283">
        <v>1</v>
      </c>
      <c r="F33" s="283" t="s">
        <v>5</v>
      </c>
      <c r="G33" s="283"/>
      <c r="H33" s="283" t="s">
        <v>136</v>
      </c>
      <c r="I33" s="283" t="s">
        <v>137</v>
      </c>
      <c r="J33" s="283">
        <v>87106</v>
      </c>
      <c r="K33" s="283" t="s">
        <v>150</v>
      </c>
      <c r="L33" s="284">
        <v>459098765</v>
      </c>
      <c r="M33" s="283">
        <v>1</v>
      </c>
      <c r="N33" s="283">
        <v>1</v>
      </c>
      <c r="O33" s="283">
        <v>1</v>
      </c>
      <c r="P33" s="285">
        <v>23.95</v>
      </c>
      <c r="Q33" s="286">
        <v>840170601061</v>
      </c>
      <c r="R33" s="283" t="s">
        <v>272</v>
      </c>
      <c r="S33" s="283" t="s">
        <v>141</v>
      </c>
      <c r="T33" s="287" t="s">
        <v>13</v>
      </c>
      <c r="U33" s="283"/>
      <c r="V33" s="283"/>
      <c r="W33" s="288"/>
      <c r="X33" s="283"/>
      <c r="Y33" s="288"/>
      <c r="Z33" s="288"/>
      <c r="AA33" s="283"/>
      <c r="AB33" s="285">
        <v>1</v>
      </c>
      <c r="AC33" s="283"/>
      <c r="AD33" s="283"/>
      <c r="AE33" s="288"/>
      <c r="AF33" s="283"/>
      <c r="AG33" s="359" t="s">
        <v>119</v>
      </c>
      <c r="AH33" s="374">
        <v>5</v>
      </c>
      <c r="AI33" s="283"/>
      <c r="AJ33" s="287" t="s">
        <v>139</v>
      </c>
      <c r="AK33" s="289">
        <v>40123</v>
      </c>
    </row>
    <row r="34" spans="1:37" s="211" customFormat="1" ht="14.25" customHeight="1" thickBot="1" x14ac:dyDescent="0.3">
      <c r="A34" s="490"/>
      <c r="B34" s="467"/>
      <c r="C34" s="468"/>
      <c r="D34" s="469"/>
      <c r="E34" s="469"/>
      <c r="F34" s="469"/>
      <c r="G34" s="469"/>
      <c r="H34" s="469"/>
      <c r="I34" s="469"/>
      <c r="J34" s="469"/>
      <c r="K34" s="469"/>
      <c r="L34" s="469"/>
      <c r="M34" s="469"/>
      <c r="N34" s="469"/>
      <c r="O34" s="469"/>
      <c r="P34" s="470"/>
      <c r="Q34" s="471"/>
      <c r="R34" s="469"/>
      <c r="S34" s="469"/>
      <c r="T34" s="469"/>
      <c r="U34" s="469"/>
      <c r="V34" s="469"/>
      <c r="W34" s="469"/>
      <c r="X34" s="469"/>
      <c r="Y34" s="469"/>
      <c r="Z34" s="469"/>
      <c r="AA34" s="469"/>
      <c r="AB34" s="470"/>
      <c r="AC34" s="469"/>
      <c r="AD34" s="469"/>
      <c r="AE34" s="469"/>
      <c r="AF34" s="469"/>
      <c r="AG34" s="469"/>
      <c r="AH34" s="469"/>
      <c r="AI34" s="469"/>
      <c r="AJ34" s="469"/>
      <c r="AK34" s="472"/>
    </row>
    <row r="35" spans="1:37" s="220" customFormat="1" ht="13.5" customHeight="1" thickBot="1" x14ac:dyDescent="0.3"/>
    <row r="36" spans="1:37" s="262" customFormat="1" ht="24.75" customHeight="1" thickBot="1" x14ac:dyDescent="0.3">
      <c r="A36" s="710" t="s">
        <v>202</v>
      </c>
      <c r="B36" s="711"/>
      <c r="C36" s="711"/>
      <c r="D36" s="711"/>
      <c r="E36" s="711"/>
      <c r="F36" s="711"/>
      <c r="G36" s="711"/>
      <c r="H36" s="711"/>
      <c r="I36" s="711"/>
      <c r="J36" s="711"/>
      <c r="K36" s="711"/>
      <c r="L36" s="711"/>
      <c r="M36" s="711"/>
      <c r="N36" s="711"/>
      <c r="O36" s="711"/>
      <c r="P36" s="711"/>
      <c r="Q36" s="711"/>
      <c r="R36" s="711"/>
      <c r="S36" s="711"/>
      <c r="T36" s="711"/>
      <c r="U36" s="711"/>
      <c r="V36" s="711"/>
      <c r="W36" s="711"/>
      <c r="X36" s="711"/>
      <c r="Y36" s="711"/>
      <c r="Z36" s="711"/>
      <c r="AA36" s="711"/>
      <c r="AB36" s="711"/>
      <c r="AC36" s="711"/>
      <c r="AD36" s="711"/>
      <c r="AE36" s="712"/>
    </row>
    <row r="37" spans="1:37" s="211" customFormat="1" ht="14.25" customHeight="1" thickBot="1" x14ac:dyDescent="0.3">
      <c r="A37" s="490"/>
      <c r="B37" s="467"/>
      <c r="C37" s="468"/>
      <c r="D37" s="469"/>
      <c r="E37" s="469"/>
      <c r="F37" s="469"/>
      <c r="G37" s="469"/>
      <c r="H37" s="469"/>
      <c r="I37" s="469"/>
      <c r="J37" s="469"/>
      <c r="K37" s="469"/>
      <c r="L37" s="469"/>
      <c r="M37" s="469"/>
      <c r="N37" s="469"/>
      <c r="O37" s="469"/>
      <c r="P37" s="470"/>
      <c r="Q37" s="471"/>
      <c r="R37" s="469"/>
      <c r="S37" s="469"/>
      <c r="T37" s="469"/>
      <c r="U37" s="469"/>
      <c r="V37" s="469"/>
      <c r="W37" s="469"/>
      <c r="X37" s="469"/>
      <c r="Y37" s="469"/>
      <c r="Z37" s="469"/>
      <c r="AA37" s="469"/>
      <c r="AB37" s="470"/>
      <c r="AC37" s="469"/>
      <c r="AD37" s="469"/>
      <c r="AE37" s="469"/>
      <c r="AF37" s="469"/>
      <c r="AG37" s="469"/>
      <c r="AH37" s="469"/>
      <c r="AI37" s="469"/>
      <c r="AJ37" s="469"/>
      <c r="AK37" s="472"/>
    </row>
    <row r="38" spans="1:37" s="211" customFormat="1" ht="45" customHeight="1" x14ac:dyDescent="0.25">
      <c r="A38" s="631" t="s">
        <v>285</v>
      </c>
      <c r="B38" s="682" t="s">
        <v>286</v>
      </c>
      <c r="C38" s="679" t="s">
        <v>161</v>
      </c>
      <c r="D38" s="294" t="s">
        <v>135</v>
      </c>
      <c r="E38" s="294">
        <v>1</v>
      </c>
      <c r="F38" s="294" t="s">
        <v>5</v>
      </c>
      <c r="G38" s="294"/>
      <c r="H38" s="294" t="s">
        <v>136</v>
      </c>
      <c r="I38" s="294" t="s">
        <v>137</v>
      </c>
      <c r="J38" s="294">
        <v>87106</v>
      </c>
      <c r="K38" s="294" t="s">
        <v>150</v>
      </c>
      <c r="L38" s="333">
        <v>45998766</v>
      </c>
      <c r="M38" s="294">
        <v>1</v>
      </c>
      <c r="N38" s="294">
        <v>1</v>
      </c>
      <c r="O38" s="297">
        <v>1</v>
      </c>
      <c r="P38" s="295">
        <v>23.95</v>
      </c>
      <c r="Q38" s="296">
        <v>840170601061</v>
      </c>
      <c r="R38" s="294" t="s">
        <v>272</v>
      </c>
      <c r="S38" s="294" t="s">
        <v>141</v>
      </c>
      <c r="T38" s="297" t="s">
        <v>13</v>
      </c>
      <c r="U38" s="294"/>
      <c r="V38" s="294"/>
      <c r="W38" s="294"/>
      <c r="X38" s="294"/>
      <c r="Y38" s="294"/>
      <c r="Z38" s="294"/>
      <c r="AA38" s="294"/>
      <c r="AB38" s="295">
        <v>1</v>
      </c>
      <c r="AC38" s="294"/>
      <c r="AD38" s="294"/>
      <c r="AE38" s="294"/>
      <c r="AF38" s="294"/>
      <c r="AG38" s="363" t="s">
        <v>119</v>
      </c>
      <c r="AH38" s="375">
        <v>5</v>
      </c>
      <c r="AI38" s="294"/>
      <c r="AJ38" s="297" t="s">
        <v>139</v>
      </c>
      <c r="AK38" s="299">
        <v>40123</v>
      </c>
    </row>
    <row r="39" spans="1:37" s="211" customFormat="1" ht="45" customHeight="1" thickBot="1" x14ac:dyDescent="0.3">
      <c r="A39" s="632"/>
      <c r="B39" s="683"/>
      <c r="C39" s="681"/>
      <c r="D39" s="300" t="s">
        <v>135</v>
      </c>
      <c r="E39" s="300">
        <v>1</v>
      </c>
      <c r="F39" s="300" t="s">
        <v>5</v>
      </c>
      <c r="G39" s="300"/>
      <c r="H39" s="300" t="s">
        <v>136</v>
      </c>
      <c r="I39" s="300" t="s">
        <v>137</v>
      </c>
      <c r="J39" s="300">
        <v>87106</v>
      </c>
      <c r="K39" s="300" t="s">
        <v>150</v>
      </c>
      <c r="L39" s="334">
        <v>45998766</v>
      </c>
      <c r="M39" s="300">
        <v>2</v>
      </c>
      <c r="N39" s="300">
        <v>1</v>
      </c>
      <c r="O39" s="300">
        <v>1</v>
      </c>
      <c r="P39" s="304">
        <v>24.95</v>
      </c>
      <c r="Q39" s="302">
        <v>840170601061</v>
      </c>
      <c r="R39" s="300" t="s">
        <v>272</v>
      </c>
      <c r="S39" s="300" t="s">
        <v>141</v>
      </c>
      <c r="T39" s="365" t="s">
        <v>8</v>
      </c>
      <c r="U39" s="300"/>
      <c r="V39" s="300"/>
      <c r="W39" s="300"/>
      <c r="X39" s="300"/>
      <c r="Y39" s="300"/>
      <c r="Z39" s="300"/>
      <c r="AA39" s="300"/>
      <c r="AB39" s="304"/>
      <c r="AC39" s="300"/>
      <c r="AD39" s="300"/>
      <c r="AE39" s="300"/>
      <c r="AF39" s="300"/>
      <c r="AG39" s="364" t="s">
        <v>119</v>
      </c>
      <c r="AH39" s="376">
        <v>5</v>
      </c>
      <c r="AI39" s="300"/>
      <c r="AJ39" s="366" t="s">
        <v>139</v>
      </c>
      <c r="AK39" s="307"/>
    </row>
    <row r="40" spans="1:37" s="211" customFormat="1" ht="14.25" customHeight="1" thickBot="1" x14ac:dyDescent="0.3">
      <c r="A40" s="490"/>
      <c r="B40" s="467"/>
      <c r="C40" s="468"/>
      <c r="D40" s="469"/>
      <c r="E40" s="469"/>
      <c r="F40" s="469"/>
      <c r="G40" s="469"/>
      <c r="H40" s="469"/>
      <c r="I40" s="469"/>
      <c r="J40" s="469"/>
      <c r="K40" s="469"/>
      <c r="L40" s="469"/>
      <c r="M40" s="469"/>
      <c r="N40" s="469"/>
      <c r="O40" s="469"/>
      <c r="P40" s="470"/>
      <c r="Q40" s="471"/>
      <c r="R40" s="469"/>
      <c r="S40" s="469"/>
      <c r="T40" s="469"/>
      <c r="U40" s="469"/>
      <c r="V40" s="469"/>
      <c r="W40" s="469"/>
      <c r="X40" s="469"/>
      <c r="Y40" s="469"/>
      <c r="Z40" s="469"/>
      <c r="AA40" s="469"/>
      <c r="AB40" s="470"/>
      <c r="AC40" s="469"/>
      <c r="AD40" s="469"/>
      <c r="AE40" s="469"/>
      <c r="AF40" s="469"/>
      <c r="AG40" s="469"/>
      <c r="AH40" s="469"/>
      <c r="AI40" s="469"/>
      <c r="AJ40" s="469"/>
      <c r="AK40" s="472"/>
    </row>
    <row r="41" spans="1:37" s="211" customFormat="1" ht="59.25" customHeight="1" thickBot="1" x14ac:dyDescent="0.3">
      <c r="A41" s="357" t="s">
        <v>287</v>
      </c>
      <c r="B41" s="358" t="s">
        <v>288</v>
      </c>
      <c r="C41" s="282" t="s">
        <v>164</v>
      </c>
      <c r="D41" s="283" t="s">
        <v>135</v>
      </c>
      <c r="E41" s="283">
        <v>1</v>
      </c>
      <c r="F41" s="283" t="s">
        <v>5</v>
      </c>
      <c r="G41" s="283"/>
      <c r="H41" s="283" t="s">
        <v>136</v>
      </c>
      <c r="I41" s="283" t="s">
        <v>137</v>
      </c>
      <c r="J41" s="283">
        <v>87106</v>
      </c>
      <c r="K41" s="283" t="s">
        <v>150</v>
      </c>
      <c r="L41" s="284">
        <v>45998766</v>
      </c>
      <c r="M41" s="283">
        <v>1</v>
      </c>
      <c r="N41" s="283">
        <v>1</v>
      </c>
      <c r="O41" s="360">
        <v>2</v>
      </c>
      <c r="P41" s="361">
        <v>24.45</v>
      </c>
      <c r="Q41" s="286">
        <v>840170601061</v>
      </c>
      <c r="R41" s="283" t="s">
        <v>272</v>
      </c>
      <c r="S41" s="283" t="s">
        <v>141</v>
      </c>
      <c r="T41" s="287" t="s">
        <v>13</v>
      </c>
      <c r="U41" s="283"/>
      <c r="V41" s="283"/>
      <c r="W41" s="283"/>
      <c r="X41" s="283"/>
      <c r="Y41" s="283"/>
      <c r="Z41" s="283"/>
      <c r="AA41" s="283"/>
      <c r="AB41" s="361">
        <v>0.5</v>
      </c>
      <c r="AC41" s="283">
        <v>1</v>
      </c>
      <c r="AD41" s="283"/>
      <c r="AE41" s="283"/>
      <c r="AF41" s="283"/>
      <c r="AG41" s="359" t="s">
        <v>119</v>
      </c>
      <c r="AH41" s="374">
        <v>5</v>
      </c>
      <c r="AI41" s="283"/>
      <c r="AJ41" s="287" t="s">
        <v>139</v>
      </c>
      <c r="AK41" s="289">
        <v>40123</v>
      </c>
    </row>
    <row r="42" spans="1:37" s="211" customFormat="1" ht="14.25" customHeight="1" thickBot="1" x14ac:dyDescent="0.3">
      <c r="A42" s="490"/>
      <c r="B42" s="467"/>
      <c r="C42" s="468"/>
      <c r="D42" s="469"/>
      <c r="E42" s="469"/>
      <c r="F42" s="469"/>
      <c r="G42" s="469"/>
      <c r="H42" s="469"/>
      <c r="I42" s="469"/>
      <c r="J42" s="469"/>
      <c r="K42" s="469"/>
      <c r="L42" s="469"/>
      <c r="M42" s="469"/>
      <c r="N42" s="469"/>
      <c r="O42" s="469"/>
      <c r="P42" s="470"/>
      <c r="Q42" s="471"/>
      <c r="R42" s="469"/>
      <c r="S42" s="469"/>
      <c r="T42" s="469"/>
      <c r="U42" s="469"/>
      <c r="V42" s="469"/>
      <c r="W42" s="469"/>
      <c r="X42" s="469"/>
      <c r="Y42" s="469"/>
      <c r="Z42" s="469"/>
      <c r="AA42" s="469"/>
      <c r="AB42" s="470"/>
      <c r="AC42" s="469"/>
      <c r="AD42" s="469"/>
      <c r="AE42" s="469"/>
      <c r="AF42" s="469"/>
      <c r="AG42" s="469"/>
      <c r="AH42" s="469"/>
      <c r="AI42" s="469"/>
      <c r="AJ42" s="469"/>
      <c r="AK42" s="472"/>
    </row>
    <row r="43" spans="1:37" s="211" customFormat="1" ht="97.5" customHeight="1" thickBot="1" x14ac:dyDescent="0.3">
      <c r="A43" s="280" t="s">
        <v>289</v>
      </c>
      <c r="B43" s="281" t="s">
        <v>291</v>
      </c>
      <c r="C43" s="282" t="s">
        <v>208</v>
      </c>
      <c r="D43" s="283" t="s">
        <v>135</v>
      </c>
      <c r="E43" s="283">
        <v>1</v>
      </c>
      <c r="F43" s="283" t="s">
        <v>5</v>
      </c>
      <c r="G43" s="283"/>
      <c r="H43" s="283" t="s">
        <v>136</v>
      </c>
      <c r="I43" s="283" t="s">
        <v>137</v>
      </c>
      <c r="J43" s="283">
        <v>87106</v>
      </c>
      <c r="K43" s="283" t="s">
        <v>150</v>
      </c>
      <c r="L43" s="284">
        <v>459098765</v>
      </c>
      <c r="M43" s="283">
        <v>1</v>
      </c>
      <c r="N43" s="283">
        <v>1</v>
      </c>
      <c r="O43" s="283">
        <v>2</v>
      </c>
      <c r="P43" s="285">
        <v>2.99</v>
      </c>
      <c r="Q43" s="286">
        <v>840170601054</v>
      </c>
      <c r="R43" s="283" t="s">
        <v>272</v>
      </c>
      <c r="S43" s="283" t="s">
        <v>133</v>
      </c>
      <c r="T43" s="287" t="s">
        <v>13</v>
      </c>
      <c r="U43" s="283"/>
      <c r="V43" s="283"/>
      <c r="W43" s="288"/>
      <c r="X43" s="283"/>
      <c r="Y43" s="288"/>
      <c r="Z43" s="288"/>
      <c r="AA43" s="339">
        <v>540170110760</v>
      </c>
      <c r="AB43" s="285">
        <v>1</v>
      </c>
      <c r="AC43" s="287" t="s">
        <v>13</v>
      </c>
      <c r="AD43" s="287">
        <v>2</v>
      </c>
      <c r="AE43" s="285">
        <v>1</v>
      </c>
      <c r="AF43" s="283"/>
      <c r="AG43" s="359" t="s">
        <v>119</v>
      </c>
      <c r="AH43" s="374">
        <v>1</v>
      </c>
      <c r="AI43" s="287" t="s">
        <v>273</v>
      </c>
      <c r="AJ43" s="287" t="s">
        <v>139</v>
      </c>
      <c r="AK43" s="289">
        <v>40123</v>
      </c>
    </row>
    <row r="44" spans="1:37" s="211" customFormat="1" ht="14.25" customHeight="1" thickBot="1" x14ac:dyDescent="0.3">
      <c r="A44" s="490"/>
      <c r="B44" s="467"/>
      <c r="C44" s="468"/>
      <c r="D44" s="469"/>
      <c r="E44" s="469"/>
      <c r="F44" s="469"/>
      <c r="G44" s="469"/>
      <c r="H44" s="469"/>
      <c r="I44" s="469"/>
      <c r="J44" s="469"/>
      <c r="K44" s="469"/>
      <c r="L44" s="469"/>
      <c r="M44" s="469"/>
      <c r="N44" s="469"/>
      <c r="O44" s="469"/>
      <c r="P44" s="470"/>
      <c r="Q44" s="471"/>
      <c r="R44" s="469"/>
      <c r="S44" s="469"/>
      <c r="T44" s="469"/>
      <c r="U44" s="469"/>
      <c r="V44" s="469"/>
      <c r="W44" s="469"/>
      <c r="X44" s="469"/>
      <c r="Y44" s="469"/>
      <c r="Z44" s="469"/>
      <c r="AA44" s="469"/>
      <c r="AB44" s="470"/>
      <c r="AC44" s="469"/>
      <c r="AD44" s="469"/>
      <c r="AE44" s="469"/>
      <c r="AF44" s="469"/>
      <c r="AG44" s="469"/>
      <c r="AH44" s="469"/>
      <c r="AI44" s="469"/>
      <c r="AJ44" s="469"/>
      <c r="AK44" s="472"/>
    </row>
    <row r="45" spans="1:37" s="211" customFormat="1" ht="39" customHeight="1" x14ac:dyDescent="0.25">
      <c r="A45" s="671" t="s">
        <v>290</v>
      </c>
      <c r="B45" s="633" t="s">
        <v>295</v>
      </c>
      <c r="C45" s="679" t="s">
        <v>212</v>
      </c>
      <c r="D45" s="294" t="s">
        <v>135</v>
      </c>
      <c r="E45" s="294">
        <v>1</v>
      </c>
      <c r="F45" s="294" t="s">
        <v>5</v>
      </c>
      <c r="G45" s="294"/>
      <c r="H45" s="294" t="s">
        <v>136</v>
      </c>
      <c r="I45" s="294" t="s">
        <v>137</v>
      </c>
      <c r="J45" s="294">
        <v>87106</v>
      </c>
      <c r="K45" s="294" t="s">
        <v>150</v>
      </c>
      <c r="L45" s="333">
        <v>45998769</v>
      </c>
      <c r="M45" s="294">
        <v>1</v>
      </c>
      <c r="N45" s="294">
        <v>1</v>
      </c>
      <c r="O45" s="294">
        <v>1</v>
      </c>
      <c r="P45" s="295">
        <v>2.4900000000000002</v>
      </c>
      <c r="Q45" s="296">
        <v>840170601054</v>
      </c>
      <c r="R45" s="294" t="s">
        <v>272</v>
      </c>
      <c r="S45" s="294" t="s">
        <v>133</v>
      </c>
      <c r="T45" s="297" t="s">
        <v>13</v>
      </c>
      <c r="U45" s="294"/>
      <c r="V45" s="294"/>
      <c r="W45" s="298"/>
      <c r="X45" s="294"/>
      <c r="Y45" s="298"/>
      <c r="Z45" s="298"/>
      <c r="AA45" s="308">
        <v>540170110760</v>
      </c>
      <c r="AB45" s="295">
        <v>1.5</v>
      </c>
      <c r="AC45" s="297" t="s">
        <v>13</v>
      </c>
      <c r="AD45" s="297">
        <v>2</v>
      </c>
      <c r="AE45" s="295">
        <v>1</v>
      </c>
      <c r="AF45" s="294"/>
      <c r="AG45" s="363" t="s">
        <v>119</v>
      </c>
      <c r="AH45" s="375">
        <v>1</v>
      </c>
      <c r="AI45" s="297" t="s">
        <v>273</v>
      </c>
      <c r="AJ45" s="297" t="s">
        <v>139</v>
      </c>
      <c r="AK45" s="299">
        <v>40123</v>
      </c>
    </row>
    <row r="46" spans="1:37" s="211" customFormat="1" ht="49.5" customHeight="1" thickBot="1" x14ac:dyDescent="0.3">
      <c r="A46" s="672"/>
      <c r="B46" s="634"/>
      <c r="C46" s="681"/>
      <c r="D46" s="300" t="s">
        <v>135</v>
      </c>
      <c r="E46" s="300">
        <v>1</v>
      </c>
      <c r="F46" s="300" t="s">
        <v>5</v>
      </c>
      <c r="G46" s="300"/>
      <c r="H46" s="300" t="s">
        <v>136</v>
      </c>
      <c r="I46" s="300" t="s">
        <v>137</v>
      </c>
      <c r="J46" s="300">
        <v>87106</v>
      </c>
      <c r="K46" s="300" t="s">
        <v>150</v>
      </c>
      <c r="L46" s="334">
        <v>45998769</v>
      </c>
      <c r="M46" s="300">
        <v>5</v>
      </c>
      <c r="N46" s="300">
        <v>1</v>
      </c>
      <c r="O46" s="300">
        <v>1</v>
      </c>
      <c r="P46" s="301">
        <v>3.49</v>
      </c>
      <c r="Q46" s="302">
        <v>840170601054</v>
      </c>
      <c r="R46" s="300" t="s">
        <v>272</v>
      </c>
      <c r="S46" s="300" t="s">
        <v>133</v>
      </c>
      <c r="T46" s="303" t="s">
        <v>13</v>
      </c>
      <c r="U46" s="300"/>
      <c r="V46" s="300"/>
      <c r="W46" s="304"/>
      <c r="X46" s="300"/>
      <c r="Y46" s="304"/>
      <c r="Z46" s="304"/>
      <c r="AA46" s="300"/>
      <c r="AB46" s="301">
        <v>0.5</v>
      </c>
      <c r="AC46" s="303" t="s">
        <v>13</v>
      </c>
      <c r="AD46" s="303">
        <v>2</v>
      </c>
      <c r="AE46" s="301">
        <v>1</v>
      </c>
      <c r="AF46" s="300"/>
      <c r="AG46" s="364" t="s">
        <v>119</v>
      </c>
      <c r="AH46" s="376">
        <v>1</v>
      </c>
      <c r="AI46" s="303" t="s">
        <v>273</v>
      </c>
      <c r="AJ46" s="303" t="s">
        <v>139</v>
      </c>
      <c r="AK46" s="310">
        <v>40123</v>
      </c>
    </row>
    <row r="47" spans="1:37" s="211" customFormat="1" ht="14.25" customHeight="1" thickBot="1" x14ac:dyDescent="0.3">
      <c r="A47" s="490"/>
      <c r="B47" s="467"/>
      <c r="C47" s="468"/>
      <c r="D47" s="469"/>
      <c r="E47" s="469"/>
      <c r="F47" s="469"/>
      <c r="G47" s="469"/>
      <c r="H47" s="469"/>
      <c r="I47" s="469"/>
      <c r="J47" s="469"/>
      <c r="K47" s="469"/>
      <c r="L47" s="469"/>
      <c r="M47" s="469"/>
      <c r="N47" s="469"/>
      <c r="O47" s="469"/>
      <c r="P47" s="470"/>
      <c r="Q47" s="471"/>
      <c r="R47" s="469"/>
      <c r="S47" s="469"/>
      <c r="T47" s="469"/>
      <c r="U47" s="469"/>
      <c r="V47" s="469"/>
      <c r="W47" s="469"/>
      <c r="X47" s="469"/>
      <c r="Y47" s="469"/>
      <c r="Z47" s="469"/>
      <c r="AA47" s="469"/>
      <c r="AB47" s="470"/>
      <c r="AC47" s="469"/>
      <c r="AD47" s="469"/>
      <c r="AE47" s="469"/>
      <c r="AF47" s="469"/>
      <c r="AG47" s="469"/>
      <c r="AH47" s="469"/>
      <c r="AI47" s="469"/>
      <c r="AJ47" s="469"/>
      <c r="AK47" s="472"/>
    </row>
    <row r="48" spans="1:37" s="211" customFormat="1" ht="81.75" customHeight="1" thickBot="1" x14ac:dyDescent="0.3">
      <c r="A48" s="312" t="s">
        <v>292</v>
      </c>
      <c r="B48" s="354" t="s">
        <v>294</v>
      </c>
      <c r="C48" s="291" t="s">
        <v>274</v>
      </c>
      <c r="D48" s="283" t="s">
        <v>135</v>
      </c>
      <c r="E48" s="283">
        <v>1</v>
      </c>
      <c r="F48" s="283" t="s">
        <v>5</v>
      </c>
      <c r="G48" s="283"/>
      <c r="H48" s="283" t="s">
        <v>136</v>
      </c>
      <c r="I48" s="283" t="s">
        <v>137</v>
      </c>
      <c r="J48" s="283">
        <v>87106</v>
      </c>
      <c r="K48" s="283" t="s">
        <v>150</v>
      </c>
      <c r="L48" s="284">
        <v>459098765</v>
      </c>
      <c r="M48" s="283">
        <v>1</v>
      </c>
      <c r="N48" s="283">
        <v>1</v>
      </c>
      <c r="O48" s="283">
        <v>3</v>
      </c>
      <c r="P48" s="292">
        <v>3.83</v>
      </c>
      <c r="Q48" s="286">
        <v>840170601054</v>
      </c>
      <c r="R48" s="283" t="s">
        <v>272</v>
      </c>
      <c r="S48" s="283" t="s">
        <v>133</v>
      </c>
      <c r="T48" s="287" t="s">
        <v>13</v>
      </c>
      <c r="U48" s="283"/>
      <c r="V48" s="283"/>
      <c r="W48" s="288"/>
      <c r="X48" s="283"/>
      <c r="Y48" s="288"/>
      <c r="Z48" s="288"/>
      <c r="AA48" s="339">
        <v>540170110760</v>
      </c>
      <c r="AB48" s="285">
        <v>0.5</v>
      </c>
      <c r="AC48" s="293" t="s">
        <v>13</v>
      </c>
      <c r="AD48" s="293">
        <v>2</v>
      </c>
      <c r="AE48" s="292">
        <v>1</v>
      </c>
      <c r="AF48" s="283"/>
      <c r="AG48" s="359" t="s">
        <v>119</v>
      </c>
      <c r="AH48" s="374">
        <v>1</v>
      </c>
      <c r="AI48" s="293" t="s">
        <v>273</v>
      </c>
      <c r="AJ48" s="287" t="s">
        <v>139</v>
      </c>
      <c r="AK48" s="289">
        <v>40123</v>
      </c>
    </row>
    <row r="49" spans="1:37" s="211" customFormat="1" ht="14.25" customHeight="1" thickBot="1" x14ac:dyDescent="0.3">
      <c r="A49" s="490"/>
      <c r="B49" s="467"/>
      <c r="C49" s="468"/>
      <c r="D49" s="469"/>
      <c r="E49" s="469"/>
      <c r="F49" s="469"/>
      <c r="G49" s="469"/>
      <c r="H49" s="469"/>
      <c r="I49" s="469"/>
      <c r="J49" s="469"/>
      <c r="K49" s="469"/>
      <c r="L49" s="469"/>
      <c r="M49" s="469"/>
      <c r="N49" s="469"/>
      <c r="O49" s="469"/>
      <c r="P49" s="470"/>
      <c r="Q49" s="471"/>
      <c r="R49" s="469"/>
      <c r="S49" s="469"/>
      <c r="T49" s="469"/>
      <c r="U49" s="469"/>
      <c r="V49" s="469"/>
      <c r="W49" s="469"/>
      <c r="X49" s="469"/>
      <c r="Y49" s="469"/>
      <c r="Z49" s="469"/>
      <c r="AA49" s="469"/>
      <c r="AB49" s="470"/>
      <c r="AC49" s="469"/>
      <c r="AD49" s="469"/>
      <c r="AE49" s="469"/>
      <c r="AF49" s="469"/>
      <c r="AG49" s="469"/>
      <c r="AH49" s="469"/>
      <c r="AI49" s="469"/>
      <c r="AJ49" s="469"/>
      <c r="AK49" s="472"/>
    </row>
    <row r="50" spans="1:37" s="211" customFormat="1" ht="54.75" customHeight="1" x14ac:dyDescent="0.25">
      <c r="A50" s="671" t="s">
        <v>293</v>
      </c>
      <c r="B50" s="633" t="s">
        <v>294</v>
      </c>
      <c r="C50" s="679" t="s">
        <v>211</v>
      </c>
      <c r="D50" s="294" t="s">
        <v>135</v>
      </c>
      <c r="E50" s="294">
        <v>1</v>
      </c>
      <c r="F50" s="294" t="s">
        <v>5</v>
      </c>
      <c r="G50" s="294"/>
      <c r="H50" s="294" t="s">
        <v>136</v>
      </c>
      <c r="I50" s="294" t="s">
        <v>137</v>
      </c>
      <c r="J50" s="294">
        <v>87106</v>
      </c>
      <c r="K50" s="294" t="s">
        <v>150</v>
      </c>
      <c r="L50" s="333">
        <v>45998769</v>
      </c>
      <c r="M50" s="294">
        <v>1</v>
      </c>
      <c r="N50" s="294">
        <v>1</v>
      </c>
      <c r="O50" s="294">
        <v>2</v>
      </c>
      <c r="P50" s="295">
        <v>3.49</v>
      </c>
      <c r="Q50" s="296">
        <v>840170601054</v>
      </c>
      <c r="R50" s="294" t="s">
        <v>272</v>
      </c>
      <c r="S50" s="294" t="s">
        <v>133</v>
      </c>
      <c r="T50" s="297" t="s">
        <v>13</v>
      </c>
      <c r="U50" s="294"/>
      <c r="V50" s="294"/>
      <c r="W50" s="298"/>
      <c r="X50" s="294"/>
      <c r="Y50" s="298"/>
      <c r="Z50" s="298"/>
      <c r="AA50" s="294"/>
      <c r="AB50" s="295">
        <v>0.5</v>
      </c>
      <c r="AC50" s="297" t="s">
        <v>13</v>
      </c>
      <c r="AD50" s="297">
        <v>2</v>
      </c>
      <c r="AE50" s="295">
        <v>1</v>
      </c>
      <c r="AF50" s="294"/>
      <c r="AG50" s="363" t="s">
        <v>119</v>
      </c>
      <c r="AH50" s="375">
        <v>1</v>
      </c>
      <c r="AI50" s="297" t="s">
        <v>273</v>
      </c>
      <c r="AJ50" s="297" t="s">
        <v>139</v>
      </c>
      <c r="AK50" s="299">
        <v>40123</v>
      </c>
    </row>
    <row r="51" spans="1:37" s="211" customFormat="1" ht="54.75" customHeight="1" thickBot="1" x14ac:dyDescent="0.3">
      <c r="A51" s="672"/>
      <c r="B51" s="634"/>
      <c r="C51" s="681"/>
      <c r="D51" s="300" t="s">
        <v>135</v>
      </c>
      <c r="E51" s="300">
        <v>1</v>
      </c>
      <c r="F51" s="300" t="s">
        <v>5</v>
      </c>
      <c r="G51" s="300"/>
      <c r="H51" s="300" t="s">
        <v>136</v>
      </c>
      <c r="I51" s="300" t="s">
        <v>137</v>
      </c>
      <c r="J51" s="300">
        <v>87106</v>
      </c>
      <c r="K51" s="300" t="s">
        <v>150</v>
      </c>
      <c r="L51" s="334">
        <v>45998769</v>
      </c>
      <c r="M51" s="300">
        <v>2</v>
      </c>
      <c r="N51" s="300">
        <v>1</v>
      </c>
      <c r="O51" s="300">
        <v>1</v>
      </c>
      <c r="P51" s="301">
        <v>2.99</v>
      </c>
      <c r="Q51" s="302">
        <v>840170601054</v>
      </c>
      <c r="R51" s="300" t="s">
        <v>272</v>
      </c>
      <c r="S51" s="300" t="s">
        <v>133</v>
      </c>
      <c r="T51" s="303" t="s">
        <v>13</v>
      </c>
      <c r="U51" s="300"/>
      <c r="V51" s="300"/>
      <c r="W51" s="304"/>
      <c r="X51" s="300"/>
      <c r="Y51" s="304"/>
      <c r="Z51" s="304"/>
      <c r="AA51" s="309">
        <v>540170110760</v>
      </c>
      <c r="AB51" s="301">
        <v>1</v>
      </c>
      <c r="AC51" s="303" t="s">
        <v>13</v>
      </c>
      <c r="AD51" s="303">
        <v>2</v>
      </c>
      <c r="AE51" s="301">
        <v>1</v>
      </c>
      <c r="AF51" s="300"/>
      <c r="AG51" s="364" t="s">
        <v>119</v>
      </c>
      <c r="AH51" s="376">
        <v>1</v>
      </c>
      <c r="AI51" s="303" t="s">
        <v>273</v>
      </c>
      <c r="AJ51" s="303" t="s">
        <v>139</v>
      </c>
      <c r="AK51" s="310">
        <v>40123</v>
      </c>
    </row>
    <row r="52" spans="1:37" s="211" customFormat="1" ht="14.25" customHeight="1" thickBot="1" x14ac:dyDescent="0.3">
      <c r="A52" s="490"/>
      <c r="B52" s="467"/>
      <c r="C52" s="468"/>
      <c r="D52" s="469"/>
      <c r="E52" s="469"/>
      <c r="F52" s="469"/>
      <c r="G52" s="469"/>
      <c r="H52" s="469"/>
      <c r="I52" s="469"/>
      <c r="J52" s="469"/>
      <c r="K52" s="469"/>
      <c r="L52" s="469"/>
      <c r="M52" s="469"/>
      <c r="N52" s="469"/>
      <c r="O52" s="469"/>
      <c r="P52" s="470"/>
      <c r="Q52" s="471"/>
      <c r="R52" s="469"/>
      <c r="S52" s="469"/>
      <c r="T52" s="469"/>
      <c r="U52" s="469"/>
      <c r="V52" s="469"/>
      <c r="W52" s="469"/>
      <c r="X52" s="469"/>
      <c r="Y52" s="469"/>
      <c r="Z52" s="469"/>
      <c r="AA52" s="469"/>
      <c r="AB52" s="470"/>
      <c r="AC52" s="469"/>
      <c r="AD52" s="469"/>
      <c r="AE52" s="469"/>
      <c r="AF52" s="469"/>
      <c r="AG52" s="469"/>
      <c r="AH52" s="469"/>
      <c r="AI52" s="469"/>
      <c r="AJ52" s="469"/>
      <c r="AK52" s="472"/>
    </row>
    <row r="53" spans="1:37" s="211" customFormat="1" ht="67.5" customHeight="1" x14ac:dyDescent="0.25">
      <c r="A53" s="690" t="s">
        <v>296</v>
      </c>
      <c r="B53" s="682" t="s">
        <v>294</v>
      </c>
      <c r="C53" s="679" t="s">
        <v>213</v>
      </c>
      <c r="D53" s="294" t="s">
        <v>135</v>
      </c>
      <c r="E53" s="294">
        <v>1</v>
      </c>
      <c r="F53" s="294" t="s">
        <v>5</v>
      </c>
      <c r="G53" s="294"/>
      <c r="H53" s="294" t="s">
        <v>136</v>
      </c>
      <c r="I53" s="294" t="s">
        <v>137</v>
      </c>
      <c r="J53" s="294">
        <v>87106</v>
      </c>
      <c r="K53" s="294" t="s">
        <v>150</v>
      </c>
      <c r="L53" s="333">
        <v>45998769</v>
      </c>
      <c r="M53" s="294">
        <v>1</v>
      </c>
      <c r="N53" s="294">
        <v>1</v>
      </c>
      <c r="O53" s="294">
        <v>2</v>
      </c>
      <c r="P53" s="295">
        <v>2.4900000000000002</v>
      </c>
      <c r="Q53" s="296">
        <v>840170601054</v>
      </c>
      <c r="R53" s="294" t="s">
        <v>272</v>
      </c>
      <c r="S53" s="294" t="s">
        <v>133</v>
      </c>
      <c r="T53" s="297" t="s">
        <v>13</v>
      </c>
      <c r="U53" s="294"/>
      <c r="V53" s="294"/>
      <c r="W53" s="298"/>
      <c r="X53" s="294"/>
      <c r="Y53" s="298"/>
      <c r="Z53" s="298"/>
      <c r="AA53" s="308">
        <v>540170110760</v>
      </c>
      <c r="AB53" s="295">
        <v>1.5</v>
      </c>
      <c r="AC53" s="297" t="s">
        <v>13</v>
      </c>
      <c r="AD53" s="297">
        <v>2</v>
      </c>
      <c r="AE53" s="295">
        <v>1</v>
      </c>
      <c r="AF53" s="294"/>
      <c r="AG53" s="363" t="s">
        <v>119</v>
      </c>
      <c r="AH53" s="375">
        <v>1</v>
      </c>
      <c r="AI53" s="297" t="s">
        <v>273</v>
      </c>
      <c r="AJ53" s="297" t="s">
        <v>139</v>
      </c>
      <c r="AK53" s="299">
        <v>40123</v>
      </c>
    </row>
    <row r="54" spans="1:37" s="211" customFormat="1" ht="67.5" customHeight="1" thickBot="1" x14ac:dyDescent="0.3">
      <c r="A54" s="692"/>
      <c r="B54" s="683"/>
      <c r="C54" s="681"/>
      <c r="D54" s="300" t="s">
        <v>135</v>
      </c>
      <c r="E54" s="300">
        <v>1</v>
      </c>
      <c r="F54" s="300" t="s">
        <v>5</v>
      </c>
      <c r="G54" s="300"/>
      <c r="H54" s="300" t="s">
        <v>136</v>
      </c>
      <c r="I54" s="300" t="s">
        <v>137</v>
      </c>
      <c r="J54" s="300">
        <v>87106</v>
      </c>
      <c r="K54" s="300" t="s">
        <v>150</v>
      </c>
      <c r="L54" s="334">
        <v>45998769</v>
      </c>
      <c r="M54" s="300">
        <v>2</v>
      </c>
      <c r="N54" s="300">
        <v>1</v>
      </c>
      <c r="O54" s="300">
        <v>1</v>
      </c>
      <c r="P54" s="301">
        <v>3.49</v>
      </c>
      <c r="Q54" s="302">
        <v>840170601054</v>
      </c>
      <c r="R54" s="300" t="s">
        <v>272</v>
      </c>
      <c r="S54" s="300" t="s">
        <v>133</v>
      </c>
      <c r="T54" s="303" t="s">
        <v>13</v>
      </c>
      <c r="U54" s="300"/>
      <c r="V54" s="300"/>
      <c r="W54" s="304"/>
      <c r="X54" s="300"/>
      <c r="Y54" s="304"/>
      <c r="Z54" s="304"/>
      <c r="AA54" s="300"/>
      <c r="AB54" s="301">
        <v>0.5</v>
      </c>
      <c r="AC54" s="303" t="s">
        <v>13</v>
      </c>
      <c r="AD54" s="303">
        <v>2</v>
      </c>
      <c r="AE54" s="301">
        <v>1</v>
      </c>
      <c r="AF54" s="300"/>
      <c r="AG54" s="364" t="s">
        <v>119</v>
      </c>
      <c r="AH54" s="376">
        <v>1</v>
      </c>
      <c r="AI54" s="303" t="s">
        <v>273</v>
      </c>
      <c r="AJ54" s="303" t="s">
        <v>139</v>
      </c>
      <c r="AK54" s="310">
        <v>40123</v>
      </c>
    </row>
    <row r="55" spans="1:37" ht="13.5" customHeight="1" thickBot="1" x14ac:dyDescent="0.25">
      <c r="A55" s="218"/>
      <c r="B55" s="218"/>
      <c r="C55" s="218"/>
      <c r="D55" s="218"/>
      <c r="E55" s="218"/>
      <c r="F55" s="218"/>
      <c r="G55" s="218"/>
      <c r="H55" s="218"/>
      <c r="I55" s="218"/>
      <c r="J55" s="218"/>
      <c r="K55" s="218"/>
      <c r="L55" s="218"/>
      <c r="M55" s="218"/>
      <c r="N55" s="218"/>
      <c r="O55" s="218"/>
      <c r="P55" s="218"/>
      <c r="Q55" s="218"/>
      <c r="R55" s="218"/>
      <c r="S55" s="218"/>
      <c r="T55" s="218"/>
      <c r="U55" s="218"/>
      <c r="V55" s="218"/>
      <c r="W55" s="218"/>
      <c r="X55" s="218"/>
      <c r="Y55" s="218"/>
      <c r="Z55" s="218"/>
      <c r="AA55" s="218"/>
      <c r="AB55" s="218"/>
      <c r="AC55" s="218"/>
      <c r="AD55" s="218"/>
      <c r="AE55" s="218"/>
      <c r="AF55" s="218"/>
      <c r="AG55" s="218"/>
      <c r="AH55" s="218"/>
      <c r="AI55" s="218"/>
      <c r="AJ55" s="218"/>
      <c r="AK55" s="218"/>
    </row>
    <row r="56" spans="1:37" s="318" customFormat="1" ht="24.75" customHeight="1" thickBot="1" x14ac:dyDescent="0.3">
      <c r="A56" s="695" t="s">
        <v>202</v>
      </c>
      <c r="B56" s="696"/>
      <c r="C56" s="696"/>
      <c r="D56" s="696"/>
      <c r="E56" s="696"/>
      <c r="F56" s="696"/>
      <c r="G56" s="696"/>
      <c r="H56" s="696"/>
      <c r="I56" s="696"/>
      <c r="J56" s="696"/>
      <c r="K56" s="696"/>
      <c r="L56" s="696"/>
      <c r="M56" s="696"/>
      <c r="N56" s="696"/>
      <c r="O56" s="696"/>
      <c r="P56" s="696"/>
      <c r="Q56" s="696"/>
      <c r="R56" s="696"/>
      <c r="S56" s="696"/>
      <c r="T56" s="696"/>
      <c r="U56" s="696"/>
      <c r="V56" s="696"/>
      <c r="W56" s="696"/>
      <c r="X56" s="696"/>
      <c r="Y56" s="696"/>
      <c r="Z56" s="696"/>
      <c r="AA56" s="696"/>
      <c r="AB56" s="696"/>
      <c r="AC56" s="696"/>
      <c r="AD56" s="696"/>
      <c r="AE56" s="697"/>
    </row>
    <row r="57" spans="1:37" s="211" customFormat="1" ht="14.25" customHeight="1" thickBot="1" x14ac:dyDescent="0.3">
      <c r="A57" s="490"/>
      <c r="B57" s="467"/>
      <c r="C57" s="468"/>
      <c r="D57" s="469"/>
      <c r="E57" s="469"/>
      <c r="F57" s="469"/>
      <c r="G57" s="469"/>
      <c r="H57" s="469"/>
      <c r="I57" s="469"/>
      <c r="J57" s="469"/>
      <c r="K57" s="469"/>
      <c r="L57" s="469"/>
      <c r="M57" s="469"/>
      <c r="N57" s="469"/>
      <c r="O57" s="469"/>
      <c r="P57" s="470"/>
      <c r="Q57" s="471"/>
      <c r="R57" s="469"/>
      <c r="S57" s="469"/>
      <c r="T57" s="469"/>
      <c r="U57" s="469"/>
      <c r="V57" s="469"/>
      <c r="W57" s="469"/>
      <c r="X57" s="469"/>
      <c r="Y57" s="469"/>
      <c r="Z57" s="469"/>
      <c r="AA57" s="469"/>
      <c r="AB57" s="470"/>
      <c r="AC57" s="469"/>
      <c r="AD57" s="469"/>
      <c r="AE57" s="469"/>
      <c r="AF57" s="469"/>
      <c r="AG57" s="469"/>
      <c r="AH57" s="469"/>
      <c r="AI57" s="469"/>
      <c r="AJ57" s="469"/>
      <c r="AK57" s="472"/>
    </row>
    <row r="58" spans="1:37" s="211" customFormat="1" ht="45" customHeight="1" x14ac:dyDescent="0.25">
      <c r="A58" s="631" t="s">
        <v>297</v>
      </c>
      <c r="B58" s="682" t="s">
        <v>328</v>
      </c>
      <c r="C58" s="679" t="s">
        <v>275</v>
      </c>
      <c r="D58" s="294" t="s">
        <v>135</v>
      </c>
      <c r="E58" s="294">
        <v>1</v>
      </c>
      <c r="F58" s="294" t="s">
        <v>5</v>
      </c>
      <c r="G58" s="294"/>
      <c r="H58" s="294" t="s">
        <v>136</v>
      </c>
      <c r="I58" s="294" t="s">
        <v>137</v>
      </c>
      <c r="J58" s="294">
        <v>87106</v>
      </c>
      <c r="K58" s="294" t="s">
        <v>150</v>
      </c>
      <c r="L58" s="333">
        <v>45998766</v>
      </c>
      <c r="M58" s="294">
        <v>1</v>
      </c>
      <c r="N58" s="294">
        <v>1</v>
      </c>
      <c r="O58" s="297">
        <v>5</v>
      </c>
      <c r="P58" s="295">
        <v>3.89</v>
      </c>
      <c r="Q58" s="296">
        <v>840170601054</v>
      </c>
      <c r="R58" s="294" t="s">
        <v>272</v>
      </c>
      <c r="S58" s="294" t="s">
        <v>133</v>
      </c>
      <c r="T58" s="340" t="s">
        <v>13</v>
      </c>
      <c r="U58" s="294"/>
      <c r="V58" s="294"/>
      <c r="W58" s="294"/>
      <c r="X58" s="294"/>
      <c r="Y58" s="294"/>
      <c r="Z58" s="294"/>
      <c r="AA58" s="294"/>
      <c r="AB58" s="295">
        <f>0.5/5</f>
        <v>0.1</v>
      </c>
      <c r="AC58" s="297" t="s">
        <v>13</v>
      </c>
      <c r="AD58" s="297">
        <v>2</v>
      </c>
      <c r="AE58" s="295">
        <v>1</v>
      </c>
      <c r="AF58" s="294"/>
      <c r="AG58" s="363" t="s">
        <v>119</v>
      </c>
      <c r="AH58" s="375">
        <v>1</v>
      </c>
      <c r="AI58" s="297" t="s">
        <v>273</v>
      </c>
      <c r="AJ58" s="297" t="s">
        <v>139</v>
      </c>
      <c r="AK58" s="299">
        <v>40123</v>
      </c>
    </row>
    <row r="59" spans="1:37" s="211" customFormat="1" ht="44.25" customHeight="1" thickBot="1" x14ac:dyDescent="0.3">
      <c r="A59" s="632"/>
      <c r="B59" s="683"/>
      <c r="C59" s="681"/>
      <c r="D59" s="300" t="s">
        <v>135</v>
      </c>
      <c r="E59" s="300">
        <v>1</v>
      </c>
      <c r="F59" s="300" t="s">
        <v>5</v>
      </c>
      <c r="G59" s="300"/>
      <c r="H59" s="300" t="s">
        <v>136</v>
      </c>
      <c r="I59" s="300" t="s">
        <v>137</v>
      </c>
      <c r="J59" s="300">
        <v>87106</v>
      </c>
      <c r="K59" s="300" t="s">
        <v>150</v>
      </c>
      <c r="L59" s="334">
        <v>45998766</v>
      </c>
      <c r="M59" s="300">
        <v>2</v>
      </c>
      <c r="N59" s="300">
        <v>1</v>
      </c>
      <c r="O59" s="303">
        <v>2</v>
      </c>
      <c r="P59" s="301">
        <v>3.49</v>
      </c>
      <c r="Q59" s="302">
        <v>840170601054</v>
      </c>
      <c r="R59" s="300" t="s">
        <v>272</v>
      </c>
      <c r="S59" s="300" t="s">
        <v>133</v>
      </c>
      <c r="T59" s="341" t="s">
        <v>13</v>
      </c>
      <c r="U59" s="300"/>
      <c r="V59" s="300"/>
      <c r="W59" s="300"/>
      <c r="X59" s="300"/>
      <c r="Y59" s="300"/>
      <c r="Z59" s="300"/>
      <c r="AA59" s="309">
        <v>540170110760</v>
      </c>
      <c r="AB59" s="301">
        <v>0.5</v>
      </c>
      <c r="AC59" s="303" t="s">
        <v>13</v>
      </c>
      <c r="AD59" s="303">
        <v>2</v>
      </c>
      <c r="AE59" s="301">
        <v>1</v>
      </c>
      <c r="AF59" s="300"/>
      <c r="AG59" s="364" t="s">
        <v>119</v>
      </c>
      <c r="AH59" s="376">
        <v>1</v>
      </c>
      <c r="AI59" s="303" t="s">
        <v>273</v>
      </c>
      <c r="AJ59" s="341" t="s">
        <v>139</v>
      </c>
      <c r="AK59" s="307"/>
    </row>
    <row r="60" spans="1:37" s="211" customFormat="1" ht="14.25" customHeight="1" thickBot="1" x14ac:dyDescent="0.3">
      <c r="A60" s="490"/>
      <c r="B60" s="467"/>
      <c r="C60" s="468"/>
      <c r="D60" s="469"/>
      <c r="E60" s="469"/>
      <c r="F60" s="469"/>
      <c r="G60" s="469"/>
      <c r="H60" s="469"/>
      <c r="I60" s="469"/>
      <c r="J60" s="469"/>
      <c r="K60" s="469"/>
      <c r="L60" s="469"/>
      <c r="M60" s="469"/>
      <c r="N60" s="469"/>
      <c r="O60" s="469"/>
      <c r="P60" s="470"/>
      <c r="Q60" s="471"/>
      <c r="R60" s="469"/>
      <c r="S60" s="469"/>
      <c r="T60" s="469"/>
      <c r="U60" s="469"/>
      <c r="V60" s="469"/>
      <c r="W60" s="469"/>
      <c r="X60" s="469"/>
      <c r="Y60" s="469"/>
      <c r="Z60" s="469"/>
      <c r="AA60" s="469"/>
      <c r="AB60" s="470"/>
      <c r="AC60" s="469"/>
      <c r="AD60" s="469"/>
      <c r="AE60" s="469"/>
      <c r="AF60" s="469"/>
      <c r="AG60" s="469"/>
      <c r="AH60" s="469"/>
      <c r="AI60" s="469"/>
      <c r="AJ60" s="469"/>
      <c r="AK60" s="472"/>
    </row>
    <row r="61" spans="1:37" s="211" customFormat="1" ht="88.5" customHeight="1" thickBot="1" x14ac:dyDescent="0.3">
      <c r="A61" s="371" t="s">
        <v>298</v>
      </c>
      <c r="B61" s="348" t="s">
        <v>299</v>
      </c>
      <c r="C61" s="282" t="s">
        <v>276</v>
      </c>
      <c r="D61" s="283" t="s">
        <v>135</v>
      </c>
      <c r="E61" s="283">
        <v>1</v>
      </c>
      <c r="F61" s="283" t="s">
        <v>5</v>
      </c>
      <c r="G61" s="283"/>
      <c r="H61" s="283" t="s">
        <v>136</v>
      </c>
      <c r="I61" s="283" t="s">
        <v>137</v>
      </c>
      <c r="J61" s="283">
        <v>87106</v>
      </c>
      <c r="K61" s="283" t="s">
        <v>150</v>
      </c>
      <c r="L61" s="284">
        <v>45998766</v>
      </c>
      <c r="M61" s="283">
        <v>1</v>
      </c>
      <c r="N61" s="283">
        <v>1</v>
      </c>
      <c r="O61" s="349">
        <v>7</v>
      </c>
      <c r="P61" s="350">
        <v>3.7</v>
      </c>
      <c r="Q61" s="286">
        <v>840170601054</v>
      </c>
      <c r="R61" s="283" t="s">
        <v>272</v>
      </c>
      <c r="S61" s="283" t="s">
        <v>133</v>
      </c>
      <c r="T61" s="287" t="s">
        <v>13</v>
      </c>
      <c r="U61" s="283"/>
      <c r="V61" s="283"/>
      <c r="W61" s="283"/>
      <c r="X61" s="283"/>
      <c r="Y61" s="283"/>
      <c r="Z61" s="283"/>
      <c r="AA61" s="339">
        <v>540170110760</v>
      </c>
      <c r="AB61" s="350">
        <v>0.28999999999999998</v>
      </c>
      <c r="AC61" s="287" t="s">
        <v>13</v>
      </c>
      <c r="AD61" s="287">
        <v>2</v>
      </c>
      <c r="AE61" s="285">
        <v>1</v>
      </c>
      <c r="AF61" s="283"/>
      <c r="AG61" s="359" t="s">
        <v>119</v>
      </c>
      <c r="AH61" s="374">
        <v>1</v>
      </c>
      <c r="AI61" s="287" t="s">
        <v>273</v>
      </c>
      <c r="AJ61" s="287" t="s">
        <v>139</v>
      </c>
      <c r="AK61" s="289">
        <v>40123</v>
      </c>
    </row>
    <row r="62" spans="1:37" s="211" customFormat="1" ht="14.25" customHeight="1" thickBot="1" x14ac:dyDescent="0.3">
      <c r="A62" s="490"/>
      <c r="B62" s="467"/>
      <c r="C62" s="468"/>
      <c r="D62" s="469"/>
      <c r="E62" s="469"/>
      <c r="F62" s="469"/>
      <c r="G62" s="469"/>
      <c r="H62" s="469"/>
      <c r="I62" s="469"/>
      <c r="J62" s="469"/>
      <c r="K62" s="469"/>
      <c r="L62" s="469"/>
      <c r="M62" s="469"/>
      <c r="N62" s="469"/>
      <c r="O62" s="469"/>
      <c r="P62" s="470"/>
      <c r="Q62" s="471"/>
      <c r="R62" s="469"/>
      <c r="S62" s="469"/>
      <c r="T62" s="469"/>
      <c r="U62" s="469"/>
      <c r="V62" s="469"/>
      <c r="W62" s="469"/>
      <c r="X62" s="469"/>
      <c r="Y62" s="469"/>
      <c r="Z62" s="469"/>
      <c r="AA62" s="469"/>
      <c r="AB62" s="470"/>
      <c r="AC62" s="469"/>
      <c r="AD62" s="469"/>
      <c r="AE62" s="469"/>
      <c r="AF62" s="469"/>
      <c r="AG62" s="469"/>
      <c r="AH62" s="469"/>
      <c r="AI62" s="469"/>
      <c r="AJ62" s="469"/>
      <c r="AK62" s="472"/>
    </row>
    <row r="63" spans="1:37" s="211" customFormat="1" ht="97.5" customHeight="1" thickBot="1" x14ac:dyDescent="0.3">
      <c r="A63" s="373">
        <v>61</v>
      </c>
      <c r="B63" s="281" t="s">
        <v>300</v>
      </c>
      <c r="C63" s="282" t="s">
        <v>208</v>
      </c>
      <c r="D63" s="283" t="s">
        <v>135</v>
      </c>
      <c r="E63" s="283">
        <v>1</v>
      </c>
      <c r="F63" s="283" t="s">
        <v>5</v>
      </c>
      <c r="G63" s="283"/>
      <c r="H63" s="283" t="s">
        <v>136</v>
      </c>
      <c r="I63" s="283" t="s">
        <v>137</v>
      </c>
      <c r="J63" s="283">
        <v>87106</v>
      </c>
      <c r="K63" s="283" t="s">
        <v>150</v>
      </c>
      <c r="L63" s="284">
        <v>459098765</v>
      </c>
      <c r="M63" s="283">
        <v>1</v>
      </c>
      <c r="N63" s="283">
        <v>1</v>
      </c>
      <c r="O63" s="283">
        <v>2</v>
      </c>
      <c r="P63" s="285">
        <v>2.74</v>
      </c>
      <c r="Q63" s="286">
        <v>840170601054</v>
      </c>
      <c r="R63" s="283" t="s">
        <v>272</v>
      </c>
      <c r="S63" s="283" t="s">
        <v>133</v>
      </c>
      <c r="T63" s="287" t="s">
        <v>13</v>
      </c>
      <c r="U63" s="283"/>
      <c r="V63" s="283"/>
      <c r="W63" s="288"/>
      <c r="X63" s="283"/>
      <c r="Y63" s="288"/>
      <c r="Z63" s="285">
        <v>0.25</v>
      </c>
      <c r="AA63" s="339">
        <v>540170110760</v>
      </c>
      <c r="AB63" s="285">
        <v>1</v>
      </c>
      <c r="AC63" s="287" t="s">
        <v>13</v>
      </c>
      <c r="AD63" s="287">
        <v>2</v>
      </c>
      <c r="AE63" s="285">
        <v>1</v>
      </c>
      <c r="AF63" s="287" t="s">
        <v>118</v>
      </c>
      <c r="AG63" s="359" t="s">
        <v>119</v>
      </c>
      <c r="AH63" s="374">
        <v>1</v>
      </c>
      <c r="AI63" s="287" t="s">
        <v>273</v>
      </c>
      <c r="AJ63" s="287" t="s">
        <v>139</v>
      </c>
      <c r="AK63" s="289">
        <v>40123</v>
      </c>
    </row>
    <row r="64" spans="1:37" x14ac:dyDescent="0.3">
      <c r="B64" s="377"/>
    </row>
  </sheetData>
  <mergeCells count="40">
    <mergeCell ref="A56:AE56"/>
    <mergeCell ref="A58:A59"/>
    <mergeCell ref="B58:B59"/>
    <mergeCell ref="C58:C59"/>
    <mergeCell ref="A50:A51"/>
    <mergeCell ref="B50:B51"/>
    <mergeCell ref="C50:C51"/>
    <mergeCell ref="A53:A54"/>
    <mergeCell ref="B53:B54"/>
    <mergeCell ref="C53:C54"/>
    <mergeCell ref="A36:AE36"/>
    <mergeCell ref="A38:A39"/>
    <mergeCell ref="B38:B39"/>
    <mergeCell ref="C38:C39"/>
    <mergeCell ref="A45:A46"/>
    <mergeCell ref="B45:B46"/>
    <mergeCell ref="C45:C46"/>
    <mergeCell ref="R1:AA1"/>
    <mergeCell ref="R2:AA2"/>
    <mergeCell ref="A6:F7"/>
    <mergeCell ref="A8:F9"/>
    <mergeCell ref="A11:L11"/>
    <mergeCell ref="A1:P1"/>
    <mergeCell ref="A2:P2"/>
    <mergeCell ref="B31:C31"/>
    <mergeCell ref="A13:C13"/>
    <mergeCell ref="A14:C14"/>
    <mergeCell ref="B15:C15"/>
    <mergeCell ref="A19:A20"/>
    <mergeCell ref="B19:B20"/>
    <mergeCell ref="C19:C20"/>
    <mergeCell ref="A23:AE23"/>
    <mergeCell ref="A25:A26"/>
    <mergeCell ref="B25:B26"/>
    <mergeCell ref="C25:C26"/>
    <mergeCell ref="AJ2:AJ12"/>
    <mergeCell ref="AK2:AK12"/>
    <mergeCell ref="A3:P3"/>
    <mergeCell ref="A4:P4"/>
    <mergeCell ref="P7:P12"/>
  </mergeCells>
  <pageMargins left="0.25" right="0.25" top="0.75" bottom="0.75" header="0.3" footer="0.3"/>
  <pageSetup paperSize="17" scale="58"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CA645-4040-454F-8EC0-AE0A303E7BFE}">
  <sheetPr>
    <tabColor theme="4" tint="0.59999389629810485"/>
  </sheetPr>
  <dimension ref="A1:AK50"/>
  <sheetViews>
    <sheetView zoomScale="80" zoomScaleNormal="80" workbookViewId="0">
      <selection activeCell="A13" sqref="A13:C13"/>
    </sheetView>
  </sheetViews>
  <sheetFormatPr defaultColWidth="9.28515625" defaultRowHeight="18.75" x14ac:dyDescent="0.3"/>
  <cols>
    <col min="1" max="1" width="13.85546875" style="385" customWidth="1"/>
    <col min="2" max="2" width="23" style="386" customWidth="1"/>
    <col min="3" max="3" width="32" style="386" customWidth="1"/>
    <col min="4" max="4" width="11.85546875" style="378" bestFit="1" customWidth="1"/>
    <col min="5" max="5" width="12" style="378" customWidth="1"/>
    <col min="6" max="6" width="15" style="378" bestFit="1" customWidth="1"/>
    <col min="7" max="7" width="8.5703125" style="378" customWidth="1"/>
    <col min="8" max="8" width="14.140625" style="378" bestFit="1" customWidth="1"/>
    <col min="9" max="9" width="12.85546875" style="378" customWidth="1"/>
    <col min="10" max="10" width="16.7109375" style="378" customWidth="1"/>
    <col min="11" max="11" width="19" style="378" customWidth="1"/>
    <col min="12" max="12" width="19.42578125" style="378" customWidth="1"/>
    <col min="13" max="13" width="17.5703125" style="378" customWidth="1"/>
    <col min="14" max="14" width="15" style="378" customWidth="1"/>
    <col min="15" max="15" width="4" style="378" bestFit="1" customWidth="1"/>
    <col min="16" max="16" width="7.28515625" style="387" bestFit="1" customWidth="1"/>
    <col min="17" max="17" width="14.85546875" style="388" bestFit="1" customWidth="1"/>
    <col min="18" max="18" width="42.42578125" style="378" bestFit="1" customWidth="1"/>
    <col min="19" max="19" width="8.140625" style="378" bestFit="1" customWidth="1"/>
    <col min="20" max="20" width="3.85546875" style="378" bestFit="1" customWidth="1"/>
    <col min="21" max="21" width="6.7109375" style="378" bestFit="1" customWidth="1"/>
    <col min="22" max="22" width="8.28515625" style="378" bestFit="1" customWidth="1"/>
    <col min="23" max="23" width="5.7109375" style="387" bestFit="1" customWidth="1"/>
    <col min="24" max="24" width="3.85546875" style="378" bestFit="1" customWidth="1"/>
    <col min="25" max="25" width="3.85546875" style="387" bestFit="1" customWidth="1"/>
    <col min="26" max="26" width="4.42578125" style="387" bestFit="1" customWidth="1"/>
    <col min="27" max="27" width="13.140625" style="378" bestFit="1" customWidth="1"/>
    <col min="28" max="28" width="5.42578125" style="387" bestFit="1" customWidth="1"/>
    <col min="29" max="30" width="3.85546875" style="378" bestFit="1" customWidth="1"/>
    <col min="31" max="31" width="3.85546875" style="387" bestFit="1" customWidth="1"/>
    <col min="32" max="32" width="5.85546875" style="378" bestFit="1" customWidth="1"/>
    <col min="33" max="33" width="3.85546875" style="378" bestFit="1" customWidth="1"/>
    <col min="34" max="34" width="3.85546875" style="387" bestFit="1" customWidth="1"/>
    <col min="35" max="35" width="3.85546875" style="378" bestFit="1" customWidth="1"/>
    <col min="36" max="36" width="16.7109375" style="378" customWidth="1"/>
    <col min="37" max="37" width="19" style="378" customWidth="1"/>
    <col min="38" max="16384" width="9.28515625" style="379"/>
  </cols>
  <sheetData>
    <row r="1" spans="1:37" s="218" customFormat="1" ht="36.75" customHeight="1" thickBot="1" x14ac:dyDescent="0.3">
      <c r="A1" s="662" t="s">
        <v>329</v>
      </c>
      <c r="B1" s="662"/>
      <c r="C1" s="662"/>
      <c r="D1" s="662"/>
      <c r="E1" s="662"/>
      <c r="F1" s="662"/>
      <c r="G1" s="662"/>
      <c r="H1" s="662"/>
      <c r="I1" s="662"/>
      <c r="J1" s="662"/>
      <c r="K1" s="662"/>
      <c r="L1" s="662"/>
      <c r="M1" s="214"/>
      <c r="N1" s="615" t="s">
        <v>83</v>
      </c>
      <c r="O1" s="616"/>
      <c r="P1" s="616"/>
      <c r="Q1" s="616"/>
      <c r="R1" s="616"/>
      <c r="S1" s="616"/>
      <c r="T1" s="616"/>
      <c r="U1" s="616"/>
      <c r="V1" s="215"/>
      <c r="W1" s="215"/>
      <c r="X1" s="215"/>
      <c r="Y1" s="215"/>
      <c r="Z1" s="215"/>
      <c r="AA1" s="215"/>
      <c r="AB1" s="215"/>
      <c r="AC1" s="215"/>
      <c r="AD1" s="215"/>
      <c r="AE1" s="215"/>
      <c r="AF1" s="215"/>
      <c r="AG1" s="215"/>
      <c r="AH1" s="215"/>
      <c r="AI1" s="216"/>
      <c r="AJ1" s="217"/>
      <c r="AK1" s="217"/>
    </row>
    <row r="2" spans="1:37" s="220" customFormat="1" ht="26.25" customHeight="1" thickBot="1" x14ac:dyDescent="0.3">
      <c r="A2" s="621" t="s">
        <v>151</v>
      </c>
      <c r="B2" s="621"/>
      <c r="C2" s="621"/>
      <c r="D2" s="621"/>
      <c r="E2" s="621"/>
      <c r="F2" s="621"/>
      <c r="G2" s="621"/>
      <c r="H2" s="621"/>
      <c r="I2" s="621"/>
      <c r="J2" s="621"/>
      <c r="K2" s="621"/>
      <c r="L2" s="621"/>
      <c r="M2" s="219"/>
      <c r="N2" s="610" t="s">
        <v>58</v>
      </c>
      <c r="O2" s="611"/>
      <c r="P2" s="611"/>
      <c r="Q2" s="611"/>
      <c r="R2" s="611"/>
      <c r="S2" s="611"/>
      <c r="T2" s="611"/>
      <c r="U2" s="612"/>
      <c r="V2" s="215"/>
      <c r="W2" s="215"/>
      <c r="X2" s="215"/>
      <c r="Y2" s="215"/>
      <c r="Z2" s="215"/>
      <c r="AA2" s="215"/>
      <c r="AB2" s="215"/>
      <c r="AC2" s="215"/>
      <c r="AD2" s="215"/>
      <c r="AE2" s="215"/>
      <c r="AF2" s="215"/>
      <c r="AG2" s="215"/>
      <c r="AH2" s="215"/>
      <c r="AI2" s="215"/>
      <c r="AJ2" s="718" t="s">
        <v>155</v>
      </c>
      <c r="AK2" s="623" t="s">
        <v>271</v>
      </c>
    </row>
    <row r="3" spans="1:37" s="220" customFormat="1" ht="26.25" customHeight="1" x14ac:dyDescent="0.25">
      <c r="A3" s="621" t="s">
        <v>152</v>
      </c>
      <c r="B3" s="621"/>
      <c r="C3" s="621"/>
      <c r="D3" s="621"/>
      <c r="E3" s="621"/>
      <c r="F3" s="621"/>
      <c r="G3" s="621"/>
      <c r="H3" s="621"/>
      <c r="I3" s="621"/>
      <c r="J3" s="621"/>
      <c r="K3" s="621"/>
      <c r="L3" s="621"/>
      <c r="M3" s="219"/>
      <c r="N3" s="219"/>
      <c r="O3" s="219"/>
      <c r="P3" s="219"/>
      <c r="Q3" s="215"/>
      <c r="R3" s="215"/>
      <c r="S3" s="215"/>
      <c r="T3" s="215"/>
      <c r="U3" s="215"/>
      <c r="V3" s="215"/>
      <c r="W3" s="215"/>
      <c r="X3" s="215"/>
      <c r="Y3" s="215"/>
      <c r="Z3" s="215"/>
      <c r="AA3" s="215"/>
      <c r="AB3" s="215"/>
      <c r="AC3" s="215"/>
      <c r="AD3" s="215"/>
      <c r="AE3" s="215"/>
      <c r="AF3" s="215"/>
      <c r="AG3" s="215"/>
      <c r="AH3" s="215"/>
      <c r="AI3" s="215"/>
      <c r="AJ3" s="718"/>
      <c r="AK3" s="623"/>
    </row>
    <row r="4" spans="1:37" s="220" customFormat="1" ht="26.25" customHeight="1" x14ac:dyDescent="0.25">
      <c r="A4" s="621" t="s">
        <v>153</v>
      </c>
      <c r="B4" s="621"/>
      <c r="C4" s="621"/>
      <c r="D4" s="621"/>
      <c r="E4" s="621"/>
      <c r="F4" s="621"/>
      <c r="G4" s="621"/>
      <c r="H4" s="621"/>
      <c r="I4" s="621"/>
      <c r="J4" s="621"/>
      <c r="K4" s="621"/>
      <c r="L4" s="621"/>
      <c r="M4" s="219"/>
      <c r="N4" s="219"/>
      <c r="O4" s="219"/>
      <c r="P4" s="219"/>
      <c r="Q4" s="221"/>
      <c r="R4" s="216"/>
      <c r="S4" s="216"/>
      <c r="T4" s="216"/>
      <c r="U4" s="216"/>
      <c r="V4" s="216"/>
      <c r="W4" s="222"/>
      <c r="X4" s="216"/>
      <c r="Y4" s="222"/>
      <c r="Z4" s="222"/>
      <c r="AA4" s="216"/>
      <c r="AB4" s="222"/>
      <c r="AC4" s="216"/>
      <c r="AD4" s="216"/>
      <c r="AE4" s="222"/>
      <c r="AF4" s="216"/>
      <c r="AG4" s="216"/>
      <c r="AH4" s="222"/>
      <c r="AI4" s="215"/>
      <c r="AJ4" s="718"/>
      <c r="AK4" s="623"/>
    </row>
    <row r="5" spans="1:37" s="220" customFormat="1" ht="15.75" customHeight="1" x14ac:dyDescent="0.25">
      <c r="A5" s="223"/>
      <c r="B5" s="224"/>
      <c r="C5" s="224"/>
      <c r="D5" s="225"/>
      <c r="E5" s="225"/>
      <c r="F5" s="225"/>
      <c r="G5" s="225"/>
      <c r="H5" s="225"/>
      <c r="I5" s="225"/>
      <c r="J5" s="225"/>
      <c r="K5" s="226"/>
      <c r="L5" s="227"/>
      <c r="M5" s="227"/>
      <c r="N5" s="227"/>
      <c r="O5" s="227"/>
      <c r="P5" s="228"/>
      <c r="Q5" s="221"/>
      <c r="R5" s="216"/>
      <c r="S5" s="216"/>
      <c r="T5" s="216"/>
      <c r="U5" s="216"/>
      <c r="V5" s="216"/>
      <c r="W5" s="222"/>
      <c r="X5" s="216"/>
      <c r="Y5" s="222"/>
      <c r="Z5" s="222"/>
      <c r="AA5" s="216"/>
      <c r="AB5" s="222"/>
      <c r="AC5" s="216"/>
      <c r="AD5" s="216"/>
      <c r="AE5" s="222"/>
      <c r="AF5" s="216"/>
      <c r="AG5" s="216"/>
      <c r="AH5" s="222"/>
      <c r="AI5" s="215"/>
      <c r="AJ5" s="718"/>
      <c r="AK5" s="623"/>
    </row>
    <row r="6" spans="1:37" s="220" customFormat="1" ht="15.75" customHeight="1" x14ac:dyDescent="0.25">
      <c r="A6" s="622" t="s">
        <v>330</v>
      </c>
      <c r="B6" s="622"/>
      <c r="C6" s="622"/>
      <c r="D6" s="622"/>
      <c r="E6" s="622"/>
      <c r="F6" s="622"/>
      <c r="G6" s="225"/>
      <c r="H6" s="225"/>
      <c r="I6" s="225"/>
      <c r="J6" s="225"/>
      <c r="K6" s="226"/>
      <c r="L6" s="227"/>
      <c r="M6" s="227"/>
      <c r="N6" s="227"/>
      <c r="O6" s="227"/>
      <c r="P6" s="228"/>
      <c r="Q6" s="221"/>
      <c r="R6" s="216"/>
      <c r="S6" s="216"/>
      <c r="T6" s="216"/>
      <c r="U6" s="216"/>
      <c r="V6" s="216"/>
      <c r="W6" s="222"/>
      <c r="X6" s="216"/>
      <c r="Y6" s="222"/>
      <c r="Z6" s="222"/>
      <c r="AA6" s="216"/>
      <c r="AB6" s="222"/>
      <c r="AC6" s="216"/>
      <c r="AD6" s="216"/>
      <c r="AE6" s="222"/>
      <c r="AF6" s="216"/>
      <c r="AG6" s="216"/>
      <c r="AH6" s="222"/>
      <c r="AI6" s="215"/>
      <c r="AJ6" s="718"/>
      <c r="AK6" s="623"/>
    </row>
    <row r="7" spans="1:37" s="220" customFormat="1" ht="15.75" customHeight="1" x14ac:dyDescent="0.25">
      <c r="A7" s="622"/>
      <c r="B7" s="622"/>
      <c r="C7" s="622"/>
      <c r="D7" s="622"/>
      <c r="E7" s="622"/>
      <c r="F7" s="622"/>
      <c r="G7" s="225"/>
      <c r="H7" s="225"/>
      <c r="I7" s="225"/>
      <c r="J7" s="225"/>
      <c r="K7" s="226"/>
      <c r="L7" s="227"/>
      <c r="M7" s="227"/>
      <c r="N7" s="227"/>
      <c r="O7" s="227"/>
      <c r="P7" s="228"/>
      <c r="Q7" s="221"/>
      <c r="R7" s="216"/>
      <c r="S7" s="216"/>
      <c r="T7" s="216"/>
      <c r="U7" s="216"/>
      <c r="V7" s="216"/>
      <c r="W7" s="222"/>
      <c r="X7" s="216"/>
      <c r="Y7" s="222"/>
      <c r="Z7" s="222"/>
      <c r="AA7" s="216"/>
      <c r="AB7" s="222"/>
      <c r="AC7" s="216"/>
      <c r="AD7" s="216"/>
      <c r="AE7" s="222"/>
      <c r="AF7" s="216"/>
      <c r="AG7" s="216"/>
      <c r="AH7" s="222"/>
      <c r="AI7" s="215"/>
      <c r="AJ7" s="718"/>
      <c r="AK7" s="623"/>
    </row>
    <row r="8" spans="1:37" s="220" customFormat="1" ht="15.75" customHeight="1" x14ac:dyDescent="0.25">
      <c r="A8" s="622" t="s">
        <v>217</v>
      </c>
      <c r="B8" s="622"/>
      <c r="C8" s="622"/>
      <c r="D8" s="622"/>
      <c r="E8" s="622"/>
      <c r="F8" s="622"/>
      <c r="P8" s="640"/>
      <c r="AJ8" s="718"/>
      <c r="AK8" s="623"/>
    </row>
    <row r="9" spans="1:37" s="220" customFormat="1" ht="11.25" customHeight="1" x14ac:dyDescent="0.25">
      <c r="A9" s="622"/>
      <c r="B9" s="622"/>
      <c r="C9" s="622"/>
      <c r="D9" s="622"/>
      <c r="E9" s="622"/>
      <c r="F9" s="622"/>
      <c r="P9" s="640"/>
      <c r="AJ9" s="718"/>
      <c r="AK9" s="623"/>
    </row>
    <row r="10" spans="1:37" s="220" customFormat="1" ht="15.75" customHeight="1" x14ac:dyDescent="0.25">
      <c r="A10" s="215"/>
      <c r="B10" s="215"/>
      <c r="C10" s="215"/>
      <c r="D10" s="215"/>
      <c r="E10" s="215"/>
      <c r="P10" s="640"/>
      <c r="AJ10" s="718"/>
      <c r="AK10" s="623"/>
    </row>
    <row r="11" spans="1:37" s="220" customFormat="1" ht="40.5" customHeight="1" x14ac:dyDescent="0.3">
      <c r="A11" s="617" t="s">
        <v>166</v>
      </c>
      <c r="B11" s="617"/>
      <c r="C11" s="617"/>
      <c r="D11" s="617"/>
      <c r="E11" s="617"/>
      <c r="F11" s="617"/>
      <c r="G11" s="617"/>
      <c r="H11" s="617"/>
      <c r="I11" s="617"/>
      <c r="J11" s="617"/>
      <c r="K11" s="617"/>
      <c r="L11" s="617"/>
      <c r="P11" s="640"/>
      <c r="AJ11" s="718"/>
      <c r="AK11" s="623"/>
    </row>
    <row r="12" spans="1:37" s="220" customFormat="1" ht="15" x14ac:dyDescent="0.25">
      <c r="A12" s="229"/>
      <c r="B12" s="230"/>
      <c r="C12" s="230"/>
      <c r="D12" s="230"/>
      <c r="E12" s="230"/>
      <c r="F12" s="230"/>
      <c r="G12" s="215"/>
      <c r="H12" s="215"/>
      <c r="P12" s="640"/>
      <c r="AJ12" s="718"/>
      <c r="AK12" s="624"/>
    </row>
    <row r="13" spans="1:37" s="383" customFormat="1" ht="18" x14ac:dyDescent="0.25">
      <c r="A13" s="637" t="s">
        <v>331</v>
      </c>
      <c r="B13" s="638"/>
      <c r="C13" s="639"/>
      <c r="D13" s="380">
        <v>1</v>
      </c>
      <c r="E13" s="380">
        <v>2</v>
      </c>
      <c r="F13" s="380">
        <v>3</v>
      </c>
      <c r="G13" s="380">
        <v>4</v>
      </c>
      <c r="H13" s="380">
        <v>5</v>
      </c>
      <c r="I13" s="380">
        <v>6</v>
      </c>
      <c r="J13" s="380">
        <v>7</v>
      </c>
      <c r="K13" s="380">
        <v>8</v>
      </c>
      <c r="L13" s="380">
        <v>9</v>
      </c>
      <c r="M13" s="380">
        <v>10</v>
      </c>
      <c r="N13" s="380">
        <v>11</v>
      </c>
      <c r="O13" s="381">
        <v>12</v>
      </c>
      <c r="P13" s="380">
        <v>13</v>
      </c>
      <c r="Q13" s="382">
        <v>14</v>
      </c>
      <c r="R13" s="380">
        <v>15</v>
      </c>
      <c r="S13" s="380">
        <v>16</v>
      </c>
      <c r="T13" s="380">
        <v>17</v>
      </c>
      <c r="U13" s="380">
        <v>18</v>
      </c>
      <c r="V13" s="380">
        <v>19</v>
      </c>
      <c r="W13" s="380">
        <v>20</v>
      </c>
      <c r="X13" s="380">
        <v>21</v>
      </c>
      <c r="Y13" s="380">
        <v>22</v>
      </c>
      <c r="Z13" s="380">
        <v>23</v>
      </c>
      <c r="AA13" s="380">
        <v>24</v>
      </c>
      <c r="AB13" s="380">
        <v>25</v>
      </c>
      <c r="AC13" s="380">
        <v>26</v>
      </c>
      <c r="AD13" s="380">
        <v>27</v>
      </c>
      <c r="AE13" s="380">
        <v>28</v>
      </c>
      <c r="AF13" s="380">
        <v>29</v>
      </c>
      <c r="AG13" s="380">
        <v>30</v>
      </c>
      <c r="AH13" s="380">
        <v>31</v>
      </c>
      <c r="AI13" s="381">
        <v>32</v>
      </c>
      <c r="AJ13" s="380">
        <v>33</v>
      </c>
      <c r="AK13" s="380">
        <v>34</v>
      </c>
    </row>
    <row r="14" spans="1:37" s="240" customFormat="1" ht="119.25" thickBot="1" x14ac:dyDescent="0.3">
      <c r="A14" s="713"/>
      <c r="B14" s="714"/>
      <c r="C14" s="715"/>
      <c r="D14" s="491" t="s">
        <v>22</v>
      </c>
      <c r="E14" s="491" t="s">
        <v>23</v>
      </c>
      <c r="F14" s="491" t="s">
        <v>24</v>
      </c>
      <c r="G14" s="491" t="s">
        <v>25</v>
      </c>
      <c r="H14" s="491" t="s">
        <v>19</v>
      </c>
      <c r="I14" s="491" t="s">
        <v>20</v>
      </c>
      <c r="J14" s="491" t="s">
        <v>21</v>
      </c>
      <c r="K14" s="491" t="s">
        <v>26</v>
      </c>
      <c r="L14" s="491" t="s">
        <v>27</v>
      </c>
      <c r="M14" s="491" t="s">
        <v>28</v>
      </c>
      <c r="N14" s="491" t="s">
        <v>29</v>
      </c>
      <c r="O14" s="492" t="s">
        <v>0</v>
      </c>
      <c r="P14" s="493" t="s">
        <v>1</v>
      </c>
      <c r="Q14" s="494" t="s">
        <v>30</v>
      </c>
      <c r="R14" s="491" t="s">
        <v>2</v>
      </c>
      <c r="S14" s="491" t="s">
        <v>31</v>
      </c>
      <c r="T14" s="491" t="s">
        <v>32</v>
      </c>
      <c r="U14" s="491" t="s">
        <v>47</v>
      </c>
      <c r="V14" s="491" t="s">
        <v>48</v>
      </c>
      <c r="W14" s="493" t="s">
        <v>49</v>
      </c>
      <c r="X14" s="491" t="s">
        <v>33</v>
      </c>
      <c r="Y14" s="493" t="s">
        <v>34</v>
      </c>
      <c r="Z14" s="493" t="s">
        <v>35</v>
      </c>
      <c r="AA14" s="491" t="s">
        <v>36</v>
      </c>
      <c r="AB14" s="493" t="s">
        <v>37</v>
      </c>
      <c r="AC14" s="491" t="s">
        <v>38</v>
      </c>
      <c r="AD14" s="491" t="s">
        <v>39</v>
      </c>
      <c r="AE14" s="493" t="s">
        <v>40</v>
      </c>
      <c r="AF14" s="491" t="s">
        <v>41</v>
      </c>
      <c r="AG14" s="491" t="s">
        <v>42</v>
      </c>
      <c r="AH14" s="493" t="s">
        <v>43</v>
      </c>
      <c r="AI14" s="492" t="s">
        <v>44</v>
      </c>
      <c r="AJ14" s="491" t="s">
        <v>45</v>
      </c>
      <c r="AK14" s="491" t="s">
        <v>46</v>
      </c>
    </row>
    <row r="15" spans="1:37" s="213" customFormat="1" ht="31.5" x14ac:dyDescent="0.25">
      <c r="A15" s="497" t="s">
        <v>156</v>
      </c>
      <c r="B15" s="716" t="s">
        <v>157</v>
      </c>
      <c r="C15" s="717"/>
      <c r="D15" s="430" t="s">
        <v>135</v>
      </c>
      <c r="E15" s="430">
        <v>1</v>
      </c>
      <c r="F15" s="430" t="s">
        <v>5</v>
      </c>
      <c r="G15" s="430"/>
      <c r="H15" s="430" t="s">
        <v>136</v>
      </c>
      <c r="I15" s="430" t="s">
        <v>137</v>
      </c>
      <c r="J15" s="430">
        <v>87106</v>
      </c>
      <c r="K15" s="430" t="s">
        <v>301</v>
      </c>
      <c r="L15" s="430">
        <v>459012345</v>
      </c>
      <c r="M15" s="430">
        <v>1</v>
      </c>
      <c r="N15" s="430">
        <v>1</v>
      </c>
      <c r="O15" s="430">
        <v>1</v>
      </c>
      <c r="P15" s="431">
        <v>21.99</v>
      </c>
      <c r="Q15" s="432">
        <v>849205023458</v>
      </c>
      <c r="R15" s="430" t="s">
        <v>116</v>
      </c>
      <c r="S15" s="430" t="s">
        <v>143</v>
      </c>
      <c r="T15" s="430" t="s">
        <v>8</v>
      </c>
      <c r="U15" s="430"/>
      <c r="V15" s="430"/>
      <c r="W15" s="431"/>
      <c r="X15" s="430"/>
      <c r="Y15" s="431"/>
      <c r="Z15" s="431"/>
      <c r="AA15" s="430"/>
      <c r="AB15" s="431"/>
      <c r="AC15" s="430"/>
      <c r="AD15" s="430"/>
      <c r="AE15" s="431"/>
      <c r="AF15" s="430"/>
      <c r="AG15" s="430"/>
      <c r="AH15" s="431"/>
      <c r="AI15" s="430"/>
      <c r="AJ15" s="430"/>
      <c r="AK15" s="433"/>
    </row>
    <row r="16" spans="1:37" s="213" customFormat="1" ht="32.25" thickBot="1" x14ac:dyDescent="0.3">
      <c r="A16" s="498" t="s">
        <v>156</v>
      </c>
      <c r="B16" s="719" t="s">
        <v>157</v>
      </c>
      <c r="C16" s="720"/>
      <c r="D16" s="435" t="s">
        <v>135</v>
      </c>
      <c r="E16" s="435">
        <v>1</v>
      </c>
      <c r="F16" s="435" t="s">
        <v>5</v>
      </c>
      <c r="G16" s="435"/>
      <c r="H16" s="435" t="s">
        <v>136</v>
      </c>
      <c r="I16" s="435" t="s">
        <v>137</v>
      </c>
      <c r="J16" s="435">
        <v>87106</v>
      </c>
      <c r="K16" s="435" t="s">
        <v>301</v>
      </c>
      <c r="L16" s="435">
        <v>459012345</v>
      </c>
      <c r="M16" s="435">
        <v>1</v>
      </c>
      <c r="N16" s="435">
        <v>1</v>
      </c>
      <c r="O16" s="435">
        <v>1</v>
      </c>
      <c r="P16" s="436">
        <v>21.99</v>
      </c>
      <c r="Q16" s="437">
        <v>849205023540</v>
      </c>
      <c r="R16" s="435" t="s">
        <v>144</v>
      </c>
      <c r="S16" s="435" t="s">
        <v>143</v>
      </c>
      <c r="T16" s="435" t="s">
        <v>8</v>
      </c>
      <c r="U16" s="435"/>
      <c r="V16" s="435"/>
      <c r="W16" s="436"/>
      <c r="X16" s="435"/>
      <c r="Y16" s="436"/>
      <c r="Z16" s="436"/>
      <c r="AA16" s="435"/>
      <c r="AB16" s="436"/>
      <c r="AC16" s="435"/>
      <c r="AD16" s="435"/>
      <c r="AE16" s="436"/>
      <c r="AF16" s="435"/>
      <c r="AG16" s="435"/>
      <c r="AH16" s="436"/>
      <c r="AI16" s="435"/>
      <c r="AJ16" s="435"/>
      <c r="AK16" s="438"/>
    </row>
    <row r="17" spans="1:37" s="384" customFormat="1" ht="13.5" customHeight="1" thickBot="1" x14ac:dyDescent="0.3">
      <c r="A17" s="721"/>
      <c r="B17" s="722"/>
      <c r="C17" s="722"/>
      <c r="D17" s="722"/>
      <c r="E17" s="722"/>
      <c r="F17" s="722"/>
      <c r="G17" s="722"/>
      <c r="H17" s="722"/>
      <c r="I17" s="722"/>
      <c r="J17" s="722"/>
      <c r="K17" s="722"/>
      <c r="L17" s="722"/>
      <c r="M17" s="722"/>
      <c r="N17" s="722"/>
      <c r="O17" s="722"/>
      <c r="P17" s="722"/>
      <c r="Q17" s="722"/>
      <c r="R17" s="722"/>
      <c r="S17" s="722"/>
      <c r="T17" s="722"/>
      <c r="U17" s="722"/>
      <c r="V17" s="722"/>
      <c r="W17" s="722"/>
      <c r="X17" s="722"/>
      <c r="Y17" s="722"/>
      <c r="Z17" s="722"/>
      <c r="AA17" s="722"/>
      <c r="AB17" s="722"/>
      <c r="AC17" s="722"/>
      <c r="AD17" s="722"/>
      <c r="AE17" s="722"/>
      <c r="AF17" s="722"/>
      <c r="AG17" s="722"/>
      <c r="AH17" s="722"/>
      <c r="AI17" s="722"/>
      <c r="AJ17" s="722"/>
      <c r="AK17" s="723"/>
    </row>
    <row r="18" spans="1:37" s="211" customFormat="1" ht="77.25" thickBot="1" x14ac:dyDescent="0.3">
      <c r="A18" s="280" t="s">
        <v>319</v>
      </c>
      <c r="B18" s="509" t="s">
        <v>302</v>
      </c>
      <c r="C18" s="282" t="s">
        <v>303</v>
      </c>
      <c r="D18" s="283" t="s">
        <v>135</v>
      </c>
      <c r="E18" s="283">
        <v>1</v>
      </c>
      <c r="F18" s="283" t="s">
        <v>5</v>
      </c>
      <c r="G18" s="283"/>
      <c r="H18" s="283" t="s">
        <v>136</v>
      </c>
      <c r="I18" s="283" t="s">
        <v>137</v>
      </c>
      <c r="J18" s="283">
        <v>87106</v>
      </c>
      <c r="K18" s="283" t="s">
        <v>301</v>
      </c>
      <c r="L18" s="284">
        <v>459098765</v>
      </c>
      <c r="M18" s="283">
        <v>1</v>
      </c>
      <c r="N18" s="283">
        <v>1</v>
      </c>
      <c r="O18" s="283">
        <v>2</v>
      </c>
      <c r="P18" s="285">
        <v>18.989999999999998</v>
      </c>
      <c r="Q18" s="286">
        <v>849205023458</v>
      </c>
      <c r="R18" s="283" t="s">
        <v>116</v>
      </c>
      <c r="S18" s="283" t="s">
        <v>143</v>
      </c>
      <c r="T18" s="287" t="s">
        <v>13</v>
      </c>
      <c r="U18" s="283"/>
      <c r="V18" s="283"/>
      <c r="W18" s="288"/>
      <c r="X18" s="283"/>
      <c r="Y18" s="288"/>
      <c r="Z18" s="288"/>
      <c r="AA18" s="283"/>
      <c r="AB18" s="285">
        <v>3</v>
      </c>
      <c r="AC18" s="283"/>
      <c r="AD18" s="283"/>
      <c r="AE18" s="288"/>
      <c r="AF18" s="283"/>
      <c r="AG18" s="510"/>
      <c r="AH18" s="511"/>
      <c r="AI18" s="283"/>
      <c r="AJ18" s="287" t="s">
        <v>139</v>
      </c>
      <c r="AK18" s="289">
        <v>30123</v>
      </c>
    </row>
    <row r="19" spans="1:37" s="211" customFormat="1" ht="13.5" customHeight="1" thickBot="1" x14ac:dyDescent="0.3">
      <c r="A19" s="724"/>
      <c r="B19" s="653"/>
      <c r="C19" s="653"/>
      <c r="D19" s="653"/>
      <c r="E19" s="653"/>
      <c r="F19" s="653"/>
      <c r="G19" s="653"/>
      <c r="H19" s="653"/>
      <c r="I19" s="653"/>
      <c r="J19" s="653"/>
      <c r="K19" s="653"/>
      <c r="L19" s="653"/>
      <c r="M19" s="653"/>
      <c r="N19" s="653"/>
      <c r="O19" s="653"/>
      <c r="P19" s="653"/>
      <c r="Q19" s="653"/>
      <c r="R19" s="653"/>
      <c r="S19" s="653"/>
      <c r="T19" s="653"/>
      <c r="U19" s="653"/>
      <c r="V19" s="653"/>
      <c r="W19" s="653"/>
      <c r="X19" s="653"/>
      <c r="Y19" s="653"/>
      <c r="Z19" s="653"/>
      <c r="AA19" s="653"/>
      <c r="AB19" s="653"/>
      <c r="AC19" s="653"/>
      <c r="AD19" s="653"/>
      <c r="AE19" s="653"/>
      <c r="AF19" s="653"/>
      <c r="AG19" s="653"/>
      <c r="AH19" s="653"/>
      <c r="AI19" s="653"/>
      <c r="AJ19" s="653"/>
      <c r="AK19" s="725"/>
    </row>
    <row r="20" spans="1:37" s="211" customFormat="1" ht="60" customHeight="1" x14ac:dyDescent="0.25">
      <c r="A20" s="671" t="s">
        <v>320</v>
      </c>
      <c r="B20" s="726" t="s">
        <v>304</v>
      </c>
      <c r="C20" s="679" t="s">
        <v>305</v>
      </c>
      <c r="D20" s="294" t="s">
        <v>135</v>
      </c>
      <c r="E20" s="294">
        <v>1</v>
      </c>
      <c r="F20" s="294" t="s">
        <v>5</v>
      </c>
      <c r="G20" s="294"/>
      <c r="H20" s="294" t="s">
        <v>136</v>
      </c>
      <c r="I20" s="294" t="s">
        <v>137</v>
      </c>
      <c r="J20" s="294">
        <v>87106</v>
      </c>
      <c r="K20" s="294" t="s">
        <v>301</v>
      </c>
      <c r="L20" s="333">
        <v>45998769</v>
      </c>
      <c r="M20" s="294">
        <v>1</v>
      </c>
      <c r="N20" s="294">
        <v>1</v>
      </c>
      <c r="O20" s="294">
        <v>1</v>
      </c>
      <c r="P20" s="295">
        <v>18.989999999999998</v>
      </c>
      <c r="Q20" s="296">
        <v>849205023458</v>
      </c>
      <c r="R20" s="294" t="s">
        <v>116</v>
      </c>
      <c r="S20" s="294" t="s">
        <v>143</v>
      </c>
      <c r="T20" s="297" t="s">
        <v>13</v>
      </c>
      <c r="U20" s="294"/>
      <c r="V20" s="294"/>
      <c r="W20" s="298"/>
      <c r="X20" s="294"/>
      <c r="Y20" s="298"/>
      <c r="Z20" s="298"/>
      <c r="AA20" s="294"/>
      <c r="AB20" s="295">
        <v>3</v>
      </c>
      <c r="AC20" s="294"/>
      <c r="AD20" s="294"/>
      <c r="AE20" s="298"/>
      <c r="AF20" s="294"/>
      <c r="AG20" s="520"/>
      <c r="AH20" s="521"/>
      <c r="AI20" s="294"/>
      <c r="AJ20" s="297" t="s">
        <v>139</v>
      </c>
      <c r="AK20" s="299">
        <v>30123</v>
      </c>
    </row>
    <row r="21" spans="1:37" s="211" customFormat="1" ht="68.25" customHeight="1" thickBot="1" x14ac:dyDescent="0.3">
      <c r="A21" s="672"/>
      <c r="B21" s="727"/>
      <c r="C21" s="681"/>
      <c r="D21" s="300" t="s">
        <v>135</v>
      </c>
      <c r="E21" s="300">
        <v>1</v>
      </c>
      <c r="F21" s="300" t="s">
        <v>5</v>
      </c>
      <c r="G21" s="300"/>
      <c r="H21" s="300" t="s">
        <v>136</v>
      </c>
      <c r="I21" s="300" t="s">
        <v>137</v>
      </c>
      <c r="J21" s="300">
        <v>87106</v>
      </c>
      <c r="K21" s="300" t="s">
        <v>301</v>
      </c>
      <c r="L21" s="334">
        <v>45998769</v>
      </c>
      <c r="M21" s="300">
        <v>2</v>
      </c>
      <c r="N21" s="300">
        <v>1</v>
      </c>
      <c r="O21" s="300">
        <v>1</v>
      </c>
      <c r="P21" s="301">
        <v>18.989999999999998</v>
      </c>
      <c r="Q21" s="302">
        <v>849205023540</v>
      </c>
      <c r="R21" s="300" t="s">
        <v>144</v>
      </c>
      <c r="S21" s="300" t="s">
        <v>143</v>
      </c>
      <c r="T21" s="303" t="s">
        <v>13</v>
      </c>
      <c r="U21" s="300"/>
      <c r="V21" s="300"/>
      <c r="W21" s="304"/>
      <c r="X21" s="300"/>
      <c r="Y21" s="304"/>
      <c r="Z21" s="304"/>
      <c r="AA21" s="300"/>
      <c r="AB21" s="301">
        <v>3</v>
      </c>
      <c r="AC21" s="300"/>
      <c r="AD21" s="300"/>
      <c r="AE21" s="304"/>
      <c r="AF21" s="300"/>
      <c r="AG21" s="522"/>
      <c r="AH21" s="523"/>
      <c r="AI21" s="300"/>
      <c r="AJ21" s="303" t="s">
        <v>139</v>
      </c>
      <c r="AK21" s="310">
        <v>30123</v>
      </c>
    </row>
    <row r="22" spans="1:37" s="211" customFormat="1" ht="13.5" customHeight="1" thickBot="1" x14ac:dyDescent="0.3">
      <c r="A22" s="724"/>
      <c r="B22" s="653"/>
      <c r="C22" s="653"/>
      <c r="D22" s="653"/>
      <c r="E22" s="653"/>
      <c r="F22" s="653"/>
      <c r="G22" s="653"/>
      <c r="H22" s="653"/>
      <c r="I22" s="653"/>
      <c r="J22" s="653"/>
      <c r="K22" s="653"/>
      <c r="L22" s="653"/>
      <c r="M22" s="653"/>
      <c r="N22" s="653"/>
      <c r="O22" s="653"/>
      <c r="P22" s="653"/>
      <c r="Q22" s="653"/>
      <c r="R22" s="653"/>
      <c r="S22" s="653"/>
      <c r="T22" s="653"/>
      <c r="U22" s="653"/>
      <c r="V22" s="653"/>
      <c r="W22" s="653"/>
      <c r="X22" s="653"/>
      <c r="Y22" s="653"/>
      <c r="Z22" s="653"/>
      <c r="AA22" s="653"/>
      <c r="AB22" s="653"/>
      <c r="AC22" s="653"/>
      <c r="AD22" s="653"/>
      <c r="AE22" s="653"/>
      <c r="AF22" s="653"/>
      <c r="AG22" s="653"/>
      <c r="AH22" s="653"/>
      <c r="AI22" s="653"/>
      <c r="AJ22" s="653"/>
      <c r="AK22" s="725"/>
    </row>
    <row r="23" spans="1:37" s="211" customFormat="1" ht="65.25" customHeight="1" thickBot="1" x14ac:dyDescent="0.3">
      <c r="A23" s="280" t="s">
        <v>321</v>
      </c>
      <c r="B23" s="509" t="s">
        <v>306</v>
      </c>
      <c r="C23" s="282" t="s">
        <v>303</v>
      </c>
      <c r="D23" s="283" t="s">
        <v>135</v>
      </c>
      <c r="E23" s="283">
        <v>1</v>
      </c>
      <c r="F23" s="283" t="s">
        <v>5</v>
      </c>
      <c r="G23" s="283"/>
      <c r="H23" s="283" t="s">
        <v>136</v>
      </c>
      <c r="I23" s="283" t="s">
        <v>137</v>
      </c>
      <c r="J23" s="283">
        <v>87106</v>
      </c>
      <c r="K23" s="283" t="s">
        <v>301</v>
      </c>
      <c r="L23" s="284">
        <v>459098765</v>
      </c>
      <c r="M23" s="283">
        <v>1</v>
      </c>
      <c r="N23" s="283">
        <v>1</v>
      </c>
      <c r="O23" s="283">
        <v>1</v>
      </c>
      <c r="P23" s="285">
        <v>18.989999999999998</v>
      </c>
      <c r="Q23" s="286">
        <v>849205023458</v>
      </c>
      <c r="R23" s="283" t="s">
        <v>116</v>
      </c>
      <c r="S23" s="283" t="s">
        <v>143</v>
      </c>
      <c r="T23" s="287" t="s">
        <v>13</v>
      </c>
      <c r="U23" s="283"/>
      <c r="V23" s="283"/>
      <c r="W23" s="288"/>
      <c r="X23" s="283"/>
      <c r="Y23" s="288"/>
      <c r="Z23" s="288"/>
      <c r="AA23" s="283"/>
      <c r="AB23" s="285">
        <v>3</v>
      </c>
      <c r="AC23" s="283"/>
      <c r="AD23" s="283"/>
      <c r="AE23" s="288"/>
      <c r="AF23" s="283"/>
      <c r="AG23" s="510"/>
      <c r="AH23" s="511"/>
      <c r="AI23" s="283"/>
      <c r="AJ23" s="287" t="s">
        <v>139</v>
      </c>
      <c r="AK23" s="289">
        <v>32123</v>
      </c>
    </row>
    <row r="24" spans="1:37" s="211" customFormat="1" ht="13.5" customHeight="1" thickBot="1" x14ac:dyDescent="0.3">
      <c r="A24" s="730"/>
      <c r="B24" s="731"/>
      <c r="C24" s="731"/>
      <c r="D24" s="731"/>
      <c r="E24" s="731"/>
      <c r="F24" s="731"/>
      <c r="G24" s="731"/>
      <c r="H24" s="731"/>
      <c r="I24" s="731"/>
      <c r="J24" s="731"/>
      <c r="K24" s="731"/>
      <c r="L24" s="731"/>
      <c r="M24" s="731"/>
      <c r="N24" s="731"/>
      <c r="O24" s="731"/>
      <c r="P24" s="731"/>
      <c r="Q24" s="731"/>
      <c r="R24" s="731"/>
      <c r="S24" s="731"/>
      <c r="T24" s="731"/>
      <c r="U24" s="731"/>
      <c r="V24" s="731"/>
      <c r="W24" s="731"/>
      <c r="X24" s="731"/>
      <c r="Y24" s="731"/>
      <c r="Z24" s="731"/>
      <c r="AA24" s="731"/>
      <c r="AB24" s="731"/>
      <c r="AC24" s="731"/>
      <c r="AD24" s="731"/>
      <c r="AE24" s="731"/>
      <c r="AF24" s="731"/>
      <c r="AG24" s="731"/>
      <c r="AH24" s="731"/>
      <c r="AI24" s="731"/>
      <c r="AJ24" s="731"/>
      <c r="AK24" s="732"/>
    </row>
    <row r="25" spans="1:37" s="262" customFormat="1" ht="24.75" customHeight="1" thickBot="1" x14ac:dyDescent="0.3">
      <c r="A25" s="733" t="s">
        <v>202</v>
      </c>
      <c r="B25" s="734"/>
      <c r="C25" s="734"/>
      <c r="D25" s="734"/>
      <c r="E25" s="734"/>
      <c r="F25" s="734"/>
      <c r="G25" s="734"/>
      <c r="H25" s="734"/>
      <c r="I25" s="734"/>
      <c r="J25" s="734"/>
      <c r="K25" s="734"/>
      <c r="L25" s="734"/>
      <c r="M25" s="734"/>
      <c r="N25" s="734"/>
      <c r="O25" s="734"/>
      <c r="P25" s="734"/>
      <c r="Q25" s="734"/>
      <c r="R25" s="734"/>
      <c r="S25" s="734"/>
      <c r="T25" s="734"/>
      <c r="U25" s="734"/>
      <c r="V25" s="734"/>
      <c r="W25" s="734"/>
      <c r="X25" s="734"/>
      <c r="Y25" s="734"/>
      <c r="Z25" s="734"/>
      <c r="AA25" s="734"/>
      <c r="AB25" s="734"/>
      <c r="AC25" s="734"/>
      <c r="AD25" s="734"/>
      <c r="AE25" s="735"/>
    </row>
    <row r="26" spans="1:37" s="211" customFormat="1" ht="14.25" customHeight="1" x14ac:dyDescent="0.25">
      <c r="A26" s="502"/>
      <c r="B26" s="503"/>
      <c r="C26" s="504"/>
      <c r="D26" s="505"/>
      <c r="E26" s="505"/>
      <c r="F26" s="505"/>
      <c r="G26" s="505"/>
      <c r="H26" s="505"/>
      <c r="I26" s="505"/>
      <c r="J26" s="505"/>
      <c r="K26" s="505"/>
      <c r="L26" s="505"/>
      <c r="M26" s="505"/>
      <c r="N26" s="505"/>
      <c r="O26" s="505"/>
      <c r="P26" s="506"/>
      <c r="Q26" s="507"/>
      <c r="R26" s="505"/>
      <c r="S26" s="505"/>
      <c r="T26" s="505"/>
      <c r="U26" s="505"/>
      <c r="V26" s="505"/>
      <c r="W26" s="505"/>
      <c r="X26" s="505"/>
      <c r="Y26" s="505"/>
      <c r="Z26" s="505"/>
      <c r="AA26" s="505"/>
      <c r="AB26" s="506"/>
      <c r="AC26" s="505"/>
      <c r="AD26" s="505"/>
      <c r="AE26" s="505"/>
      <c r="AF26" s="505"/>
      <c r="AG26" s="505"/>
      <c r="AH26" s="505"/>
      <c r="AI26" s="505"/>
      <c r="AJ26" s="505"/>
      <c r="AK26" s="508"/>
    </row>
    <row r="27" spans="1:37" s="211" customFormat="1" ht="73.5" customHeight="1" thickBot="1" x14ac:dyDescent="0.3">
      <c r="A27" s="517" t="s">
        <v>322</v>
      </c>
      <c r="B27" s="398" t="s">
        <v>307</v>
      </c>
      <c r="C27" s="394" t="s">
        <v>303</v>
      </c>
      <c r="D27" s="439" t="s">
        <v>135</v>
      </c>
      <c r="E27" s="439">
        <v>1</v>
      </c>
      <c r="F27" s="439" t="s">
        <v>5</v>
      </c>
      <c r="G27" s="439"/>
      <c r="H27" s="439" t="s">
        <v>136</v>
      </c>
      <c r="I27" s="439" t="s">
        <v>137</v>
      </c>
      <c r="J27" s="439">
        <v>87106</v>
      </c>
      <c r="K27" s="439" t="s">
        <v>301</v>
      </c>
      <c r="L27" s="440">
        <v>45998766</v>
      </c>
      <c r="M27" s="439">
        <v>1</v>
      </c>
      <c r="N27" s="439">
        <v>1</v>
      </c>
      <c r="O27" s="443">
        <v>5</v>
      </c>
      <c r="P27" s="441">
        <v>20.79</v>
      </c>
      <c r="Q27" s="442">
        <v>849205023540</v>
      </c>
      <c r="R27" s="439" t="s">
        <v>144</v>
      </c>
      <c r="S27" s="439" t="s">
        <v>143</v>
      </c>
      <c r="T27" s="443" t="s">
        <v>13</v>
      </c>
      <c r="U27" s="439"/>
      <c r="V27" s="439"/>
      <c r="W27" s="439"/>
      <c r="X27" s="439"/>
      <c r="Y27" s="439"/>
      <c r="Z27" s="439"/>
      <c r="AA27" s="439"/>
      <c r="AB27" s="441">
        <v>1.2</v>
      </c>
      <c r="AC27" s="439"/>
      <c r="AD27" s="439"/>
      <c r="AE27" s="439"/>
      <c r="AF27" s="439"/>
      <c r="AG27" s="439"/>
      <c r="AH27" s="439"/>
      <c r="AI27" s="439"/>
      <c r="AJ27" s="443" t="s">
        <v>139</v>
      </c>
      <c r="AK27" s="518">
        <v>30123</v>
      </c>
    </row>
    <row r="28" spans="1:37" s="211" customFormat="1" ht="14.25" customHeight="1" thickBot="1" x14ac:dyDescent="0.3">
      <c r="A28" s="519"/>
      <c r="B28" s="450"/>
      <c r="C28" s="451"/>
      <c r="D28" s="452"/>
      <c r="E28" s="452"/>
      <c r="F28" s="452"/>
      <c r="G28" s="452"/>
      <c r="H28" s="452"/>
      <c r="I28" s="452"/>
      <c r="J28" s="452"/>
      <c r="K28" s="452"/>
      <c r="L28" s="452"/>
      <c r="M28" s="452"/>
      <c r="N28" s="452"/>
      <c r="O28" s="452"/>
      <c r="P28" s="453"/>
      <c r="Q28" s="454"/>
      <c r="R28" s="452"/>
      <c r="S28" s="452"/>
      <c r="T28" s="452"/>
      <c r="U28" s="452"/>
      <c r="V28" s="452"/>
      <c r="W28" s="452"/>
      <c r="X28" s="452"/>
      <c r="Y28" s="452"/>
      <c r="Z28" s="452"/>
      <c r="AA28" s="452"/>
      <c r="AB28" s="453"/>
      <c r="AC28" s="452"/>
      <c r="AD28" s="452"/>
      <c r="AE28" s="452"/>
      <c r="AF28" s="452"/>
      <c r="AG28" s="452"/>
      <c r="AH28" s="452"/>
      <c r="AI28" s="452"/>
      <c r="AJ28" s="452"/>
      <c r="AK28" s="455"/>
    </row>
    <row r="29" spans="1:37" s="211" customFormat="1" ht="72" customHeight="1" x14ac:dyDescent="0.25">
      <c r="A29" s="690" t="s">
        <v>323</v>
      </c>
      <c r="B29" s="736" t="s">
        <v>308</v>
      </c>
      <c r="C29" s="679" t="s">
        <v>305</v>
      </c>
      <c r="D29" s="294" t="s">
        <v>135</v>
      </c>
      <c r="E29" s="294">
        <v>1</v>
      </c>
      <c r="F29" s="294" t="s">
        <v>5</v>
      </c>
      <c r="G29" s="294"/>
      <c r="H29" s="294" t="s">
        <v>136</v>
      </c>
      <c r="I29" s="294" t="s">
        <v>137</v>
      </c>
      <c r="J29" s="294">
        <v>87106</v>
      </c>
      <c r="K29" s="294" t="s">
        <v>301</v>
      </c>
      <c r="L29" s="333">
        <v>45998766</v>
      </c>
      <c r="M29" s="294">
        <v>1</v>
      </c>
      <c r="N29" s="294">
        <v>1</v>
      </c>
      <c r="O29" s="297">
        <v>2</v>
      </c>
      <c r="P29" s="295">
        <v>18.989999999999998</v>
      </c>
      <c r="Q29" s="296">
        <v>849205023458</v>
      </c>
      <c r="R29" s="294" t="s">
        <v>116</v>
      </c>
      <c r="S29" s="294" t="s">
        <v>143</v>
      </c>
      <c r="T29" s="297" t="s">
        <v>13</v>
      </c>
      <c r="U29" s="294"/>
      <c r="V29" s="294"/>
      <c r="W29" s="294"/>
      <c r="X29" s="294"/>
      <c r="Y29" s="294"/>
      <c r="Z29" s="294"/>
      <c r="AA29" s="294"/>
      <c r="AB29" s="295">
        <v>3</v>
      </c>
      <c r="AC29" s="294"/>
      <c r="AD29" s="294"/>
      <c r="AE29" s="294"/>
      <c r="AF29" s="294"/>
      <c r="AG29" s="294"/>
      <c r="AH29" s="294"/>
      <c r="AI29" s="294"/>
      <c r="AJ29" s="297" t="s">
        <v>139</v>
      </c>
      <c r="AK29" s="299">
        <v>30123</v>
      </c>
    </row>
    <row r="30" spans="1:37" s="211" customFormat="1" ht="73.5" customHeight="1" thickBot="1" x14ac:dyDescent="0.3">
      <c r="A30" s="692"/>
      <c r="B30" s="737"/>
      <c r="C30" s="681"/>
      <c r="D30" s="300" t="s">
        <v>135</v>
      </c>
      <c r="E30" s="300">
        <v>1</v>
      </c>
      <c r="F30" s="300" t="s">
        <v>5</v>
      </c>
      <c r="G30" s="300"/>
      <c r="H30" s="300" t="s">
        <v>136</v>
      </c>
      <c r="I30" s="300" t="s">
        <v>137</v>
      </c>
      <c r="J30" s="300">
        <v>87106</v>
      </c>
      <c r="K30" s="300" t="s">
        <v>301</v>
      </c>
      <c r="L30" s="334">
        <v>45998766</v>
      </c>
      <c r="M30" s="300">
        <v>2</v>
      </c>
      <c r="N30" s="300">
        <v>1</v>
      </c>
      <c r="O30" s="300">
        <v>3</v>
      </c>
      <c r="P30" s="304">
        <v>21.99</v>
      </c>
      <c r="Q30" s="302">
        <v>849205023458</v>
      </c>
      <c r="R30" s="300" t="s">
        <v>116</v>
      </c>
      <c r="S30" s="300" t="s">
        <v>143</v>
      </c>
      <c r="T30" s="365" t="s">
        <v>8</v>
      </c>
      <c r="U30" s="300"/>
      <c r="V30" s="300"/>
      <c r="W30" s="300"/>
      <c r="X30" s="300"/>
      <c r="Y30" s="300"/>
      <c r="Z30" s="300"/>
      <c r="AA30" s="300"/>
      <c r="AB30" s="304"/>
      <c r="AC30" s="300"/>
      <c r="AD30" s="300"/>
      <c r="AE30" s="300"/>
      <c r="AF30" s="300"/>
      <c r="AG30" s="300"/>
      <c r="AH30" s="300"/>
      <c r="AI30" s="300"/>
      <c r="AJ30" s="512" t="s">
        <v>139</v>
      </c>
      <c r="AK30" s="307"/>
    </row>
    <row r="31" spans="1:37" s="211" customFormat="1" ht="13.5" customHeight="1" thickBot="1" x14ac:dyDescent="0.3">
      <c r="A31" s="730"/>
      <c r="B31" s="731"/>
      <c r="C31" s="731"/>
      <c r="D31" s="731"/>
      <c r="E31" s="731"/>
      <c r="F31" s="731"/>
      <c r="G31" s="731"/>
      <c r="H31" s="731"/>
      <c r="I31" s="731"/>
      <c r="J31" s="731"/>
      <c r="K31" s="731"/>
      <c r="L31" s="731"/>
      <c r="M31" s="731"/>
      <c r="N31" s="731"/>
      <c r="O31" s="731"/>
      <c r="P31" s="731"/>
      <c r="Q31" s="731"/>
      <c r="R31" s="731"/>
      <c r="S31" s="731"/>
      <c r="T31" s="731"/>
      <c r="U31" s="731"/>
      <c r="V31" s="731"/>
      <c r="W31" s="731"/>
      <c r="X31" s="731"/>
      <c r="Y31" s="731"/>
      <c r="Z31" s="731"/>
      <c r="AA31" s="731"/>
      <c r="AB31" s="731"/>
      <c r="AC31" s="731"/>
      <c r="AD31" s="731"/>
      <c r="AE31" s="731"/>
      <c r="AF31" s="731"/>
      <c r="AG31" s="731"/>
      <c r="AH31" s="731"/>
      <c r="AI31" s="731"/>
      <c r="AJ31" s="731"/>
      <c r="AK31" s="732"/>
    </row>
    <row r="32" spans="1:37" s="262" customFormat="1" ht="24.75" customHeight="1" thickBot="1" x14ac:dyDescent="0.3">
      <c r="A32" s="733" t="s">
        <v>202</v>
      </c>
      <c r="B32" s="734"/>
      <c r="C32" s="734"/>
      <c r="D32" s="734"/>
      <c r="E32" s="734"/>
      <c r="F32" s="734"/>
      <c r="G32" s="734"/>
      <c r="H32" s="734"/>
      <c r="I32" s="734"/>
      <c r="J32" s="734"/>
      <c r="K32" s="734"/>
      <c r="L32" s="734"/>
      <c r="M32" s="734"/>
      <c r="N32" s="734"/>
      <c r="O32" s="734"/>
      <c r="P32" s="734"/>
      <c r="Q32" s="734"/>
      <c r="R32" s="734"/>
      <c r="S32" s="734"/>
      <c r="T32" s="734"/>
      <c r="U32" s="734"/>
      <c r="V32" s="734"/>
      <c r="W32" s="734"/>
      <c r="X32" s="734"/>
      <c r="Y32" s="734"/>
      <c r="Z32" s="734"/>
      <c r="AA32" s="734"/>
      <c r="AB32" s="734"/>
      <c r="AC32" s="734"/>
      <c r="AD32" s="734"/>
      <c r="AE32" s="735"/>
    </row>
    <row r="33" spans="1:37" s="211" customFormat="1" ht="77.25" thickBot="1" x14ac:dyDescent="0.3">
      <c r="A33" s="280" t="s">
        <v>324</v>
      </c>
      <c r="B33" s="515" t="s">
        <v>309</v>
      </c>
      <c r="C33" s="282" t="s">
        <v>310</v>
      </c>
      <c r="D33" s="283" t="s">
        <v>135</v>
      </c>
      <c r="E33" s="283">
        <v>1</v>
      </c>
      <c r="F33" s="283" t="s">
        <v>5</v>
      </c>
      <c r="G33" s="283"/>
      <c r="H33" s="283" t="s">
        <v>136</v>
      </c>
      <c r="I33" s="283" t="s">
        <v>137</v>
      </c>
      <c r="J33" s="283">
        <v>87106</v>
      </c>
      <c r="K33" s="283" t="s">
        <v>301</v>
      </c>
      <c r="L33" s="284">
        <v>459098765</v>
      </c>
      <c r="M33" s="283">
        <v>1</v>
      </c>
      <c r="N33" s="283">
        <v>1</v>
      </c>
      <c r="O33" s="283">
        <v>2</v>
      </c>
      <c r="P33" s="285">
        <v>16.489999999999998</v>
      </c>
      <c r="Q33" s="286">
        <v>849205023458</v>
      </c>
      <c r="R33" s="283" t="s">
        <v>116</v>
      </c>
      <c r="S33" s="283" t="s">
        <v>143</v>
      </c>
      <c r="T33" s="287" t="s">
        <v>13</v>
      </c>
      <c r="U33" s="283"/>
      <c r="V33" s="283"/>
      <c r="W33" s="288"/>
      <c r="X33" s="283"/>
      <c r="Y33" s="288"/>
      <c r="Z33" s="285">
        <v>2.5</v>
      </c>
      <c r="AA33" s="283"/>
      <c r="AB33" s="285">
        <v>3</v>
      </c>
      <c r="AC33" s="283"/>
      <c r="AD33" s="286"/>
      <c r="AE33" s="288"/>
      <c r="AF33" s="287" t="s">
        <v>311</v>
      </c>
      <c r="AG33" s="283"/>
      <c r="AH33" s="288"/>
      <c r="AI33" s="283"/>
      <c r="AJ33" s="287" t="s">
        <v>139</v>
      </c>
      <c r="AK33" s="289">
        <v>30123</v>
      </c>
    </row>
    <row r="34" spans="1:37" s="211" customFormat="1" ht="13.5" customHeight="1" thickBot="1" x14ac:dyDescent="0.3">
      <c r="A34" s="500"/>
      <c r="B34" s="395"/>
      <c r="C34" s="395"/>
      <c r="D34" s="395"/>
      <c r="E34" s="395"/>
      <c r="F34" s="395"/>
      <c r="G34" s="395"/>
      <c r="H34" s="395"/>
      <c r="I34" s="395"/>
      <c r="J34" s="395"/>
      <c r="K34" s="395"/>
      <c r="L34" s="395"/>
      <c r="M34" s="395"/>
      <c r="N34" s="395"/>
      <c r="O34" s="395"/>
      <c r="P34" s="395"/>
      <c r="Q34" s="395"/>
      <c r="R34" s="395"/>
      <c r="S34" s="395"/>
      <c r="T34" s="395"/>
      <c r="U34" s="395"/>
      <c r="V34" s="395"/>
      <c r="W34" s="395"/>
      <c r="X34" s="395"/>
      <c r="Y34" s="395"/>
      <c r="Z34" s="395"/>
      <c r="AA34" s="395"/>
      <c r="AB34" s="395"/>
      <c r="AC34" s="395"/>
      <c r="AD34" s="395"/>
      <c r="AE34" s="395"/>
      <c r="AF34" s="395"/>
      <c r="AG34" s="395"/>
      <c r="AH34" s="395"/>
      <c r="AI34" s="395"/>
      <c r="AJ34" s="395"/>
      <c r="AK34" s="501"/>
    </row>
    <row r="35" spans="1:37" s="211" customFormat="1" ht="71.25" customHeight="1" x14ac:dyDescent="0.25">
      <c r="A35" s="690" t="s">
        <v>325</v>
      </c>
      <c r="B35" s="736" t="s">
        <v>312</v>
      </c>
      <c r="C35" s="679" t="s">
        <v>313</v>
      </c>
      <c r="D35" s="294" t="s">
        <v>135</v>
      </c>
      <c r="E35" s="294">
        <v>1</v>
      </c>
      <c r="F35" s="294" t="s">
        <v>5</v>
      </c>
      <c r="G35" s="294"/>
      <c r="H35" s="294" t="s">
        <v>136</v>
      </c>
      <c r="I35" s="294" t="s">
        <v>137</v>
      </c>
      <c r="J35" s="294">
        <v>87106</v>
      </c>
      <c r="K35" s="294" t="s">
        <v>301</v>
      </c>
      <c r="L35" s="333">
        <v>45998766</v>
      </c>
      <c r="M35" s="294">
        <v>1</v>
      </c>
      <c r="N35" s="294">
        <v>1</v>
      </c>
      <c r="O35" s="297">
        <v>1</v>
      </c>
      <c r="P35" s="295">
        <v>16.489999999999998</v>
      </c>
      <c r="Q35" s="296">
        <v>849205023458</v>
      </c>
      <c r="R35" s="294" t="s">
        <v>116</v>
      </c>
      <c r="S35" s="294" t="s">
        <v>143</v>
      </c>
      <c r="T35" s="297" t="s">
        <v>13</v>
      </c>
      <c r="U35" s="294"/>
      <c r="V35" s="294"/>
      <c r="W35" s="294"/>
      <c r="X35" s="294"/>
      <c r="Y35" s="294"/>
      <c r="Z35" s="295">
        <v>2.5</v>
      </c>
      <c r="AA35" s="294"/>
      <c r="AB35" s="295">
        <v>3</v>
      </c>
      <c r="AC35" s="294"/>
      <c r="AD35" s="294"/>
      <c r="AE35" s="294"/>
      <c r="AF35" s="297" t="s">
        <v>311</v>
      </c>
      <c r="AG35" s="294"/>
      <c r="AH35" s="294"/>
      <c r="AI35" s="294"/>
      <c r="AJ35" s="297" t="s">
        <v>139</v>
      </c>
      <c r="AK35" s="299">
        <v>30123</v>
      </c>
    </row>
    <row r="36" spans="1:37" s="211" customFormat="1" ht="57" customHeight="1" thickBot="1" x14ac:dyDescent="0.3">
      <c r="A36" s="692"/>
      <c r="B36" s="737"/>
      <c r="C36" s="681"/>
      <c r="D36" s="300" t="s">
        <v>135</v>
      </c>
      <c r="E36" s="300">
        <v>1</v>
      </c>
      <c r="F36" s="300" t="s">
        <v>5</v>
      </c>
      <c r="G36" s="300"/>
      <c r="H36" s="300" t="s">
        <v>136</v>
      </c>
      <c r="I36" s="300" t="s">
        <v>137</v>
      </c>
      <c r="J36" s="300">
        <v>87106</v>
      </c>
      <c r="K36" s="300" t="s">
        <v>301</v>
      </c>
      <c r="L36" s="334">
        <v>45998766</v>
      </c>
      <c r="M36" s="300">
        <v>2</v>
      </c>
      <c r="N36" s="300">
        <v>1</v>
      </c>
      <c r="O36" s="303">
        <v>1</v>
      </c>
      <c r="P36" s="301">
        <v>16.489999999999998</v>
      </c>
      <c r="Q36" s="302">
        <v>849205023458</v>
      </c>
      <c r="R36" s="300" t="s">
        <v>116</v>
      </c>
      <c r="S36" s="300" t="s">
        <v>143</v>
      </c>
      <c r="T36" s="303" t="s">
        <v>13</v>
      </c>
      <c r="U36" s="300"/>
      <c r="V36" s="300"/>
      <c r="W36" s="300"/>
      <c r="X36" s="300"/>
      <c r="Y36" s="300"/>
      <c r="Z36" s="301">
        <v>2.5</v>
      </c>
      <c r="AA36" s="300"/>
      <c r="AB36" s="301">
        <v>3</v>
      </c>
      <c r="AC36" s="300"/>
      <c r="AD36" s="300"/>
      <c r="AE36" s="300"/>
      <c r="AF36" s="303" t="s">
        <v>311</v>
      </c>
      <c r="AG36" s="300"/>
      <c r="AH36" s="300"/>
      <c r="AI36" s="300"/>
      <c r="AJ36" s="303" t="s">
        <v>139</v>
      </c>
      <c r="AK36" s="310">
        <v>30123</v>
      </c>
    </row>
    <row r="37" spans="1:37" s="211" customFormat="1" ht="13.5" customHeight="1" thickBot="1" x14ac:dyDescent="0.3">
      <c r="A37" s="500"/>
      <c r="B37" s="395"/>
      <c r="C37" s="395"/>
      <c r="D37" s="395"/>
      <c r="E37" s="395"/>
      <c r="F37" s="395"/>
      <c r="G37" s="395"/>
      <c r="H37" s="395"/>
      <c r="I37" s="395"/>
      <c r="J37" s="395"/>
      <c r="K37" s="395"/>
      <c r="L37" s="395"/>
      <c r="M37" s="395"/>
      <c r="N37" s="395"/>
      <c r="O37" s="395"/>
      <c r="P37" s="395"/>
      <c r="Q37" s="395"/>
      <c r="R37" s="395"/>
      <c r="S37" s="395"/>
      <c r="T37" s="395"/>
      <c r="U37" s="395"/>
      <c r="V37" s="395"/>
      <c r="W37" s="395"/>
      <c r="X37" s="395"/>
      <c r="Y37" s="395"/>
      <c r="Z37" s="395"/>
      <c r="AA37" s="395"/>
      <c r="AB37" s="395"/>
      <c r="AC37" s="395"/>
      <c r="AD37" s="395"/>
      <c r="AE37" s="395"/>
      <c r="AF37" s="395"/>
      <c r="AG37" s="395"/>
      <c r="AH37" s="395"/>
      <c r="AI37" s="395"/>
      <c r="AJ37" s="395"/>
      <c r="AK37" s="501"/>
    </row>
    <row r="38" spans="1:37" s="211" customFormat="1" ht="153.75" thickBot="1" x14ac:dyDescent="0.3">
      <c r="A38" s="280">
        <v>65</v>
      </c>
      <c r="B38" s="515" t="s">
        <v>314</v>
      </c>
      <c r="C38" s="516" t="s">
        <v>315</v>
      </c>
      <c r="D38" s="283" t="s">
        <v>135</v>
      </c>
      <c r="E38" s="283">
        <v>1</v>
      </c>
      <c r="F38" s="283" t="s">
        <v>5</v>
      </c>
      <c r="G38" s="283"/>
      <c r="H38" s="283" t="s">
        <v>136</v>
      </c>
      <c r="I38" s="283" t="s">
        <v>137</v>
      </c>
      <c r="J38" s="283">
        <v>87106</v>
      </c>
      <c r="K38" s="283" t="s">
        <v>301</v>
      </c>
      <c r="L38" s="284">
        <v>459098765</v>
      </c>
      <c r="M38" s="283">
        <v>1</v>
      </c>
      <c r="N38" s="283">
        <v>1</v>
      </c>
      <c r="O38" s="283">
        <v>2</v>
      </c>
      <c r="P38" s="285">
        <v>15.49</v>
      </c>
      <c r="Q38" s="286">
        <v>849205023540</v>
      </c>
      <c r="R38" s="283" t="s">
        <v>144</v>
      </c>
      <c r="S38" s="283" t="s">
        <v>143</v>
      </c>
      <c r="T38" s="287" t="s">
        <v>13</v>
      </c>
      <c r="U38" s="283"/>
      <c r="V38" s="283"/>
      <c r="W38" s="288"/>
      <c r="X38" s="283"/>
      <c r="Y38" s="288"/>
      <c r="Z38" s="285">
        <f>5/O38</f>
        <v>2.5</v>
      </c>
      <c r="AA38" s="339">
        <v>549205531518</v>
      </c>
      <c r="AB38" s="285">
        <v>4</v>
      </c>
      <c r="AC38" s="283"/>
      <c r="AD38" s="286"/>
      <c r="AE38" s="288"/>
      <c r="AF38" s="287" t="s">
        <v>311</v>
      </c>
      <c r="AG38" s="283"/>
      <c r="AH38" s="288"/>
      <c r="AI38" s="283"/>
      <c r="AJ38" s="287" t="s">
        <v>139</v>
      </c>
      <c r="AK38" s="289">
        <v>30123</v>
      </c>
    </row>
    <row r="39" spans="1:37" s="211" customFormat="1" ht="13.5" customHeight="1" thickBot="1" x14ac:dyDescent="0.3">
      <c r="A39" s="261"/>
      <c r="B39" s="261"/>
      <c r="C39" s="261"/>
      <c r="D39" s="261"/>
      <c r="E39" s="261"/>
      <c r="F39" s="261"/>
      <c r="G39" s="261"/>
      <c r="H39" s="261"/>
      <c r="I39" s="261"/>
      <c r="J39" s="261"/>
      <c r="K39" s="261"/>
      <c r="L39" s="261"/>
      <c r="M39" s="261"/>
      <c r="N39" s="261"/>
      <c r="O39" s="261"/>
      <c r="P39" s="261"/>
      <c r="Q39" s="261"/>
      <c r="R39" s="261"/>
      <c r="S39" s="261"/>
      <c r="T39" s="261"/>
      <c r="U39" s="261"/>
      <c r="V39" s="261"/>
      <c r="W39" s="261"/>
      <c r="X39" s="261"/>
      <c r="Y39" s="261"/>
      <c r="Z39" s="261"/>
      <c r="AA39" s="261"/>
      <c r="AB39" s="261"/>
      <c r="AC39" s="261"/>
      <c r="AD39" s="261"/>
      <c r="AE39" s="261"/>
      <c r="AF39" s="261"/>
      <c r="AG39" s="261"/>
      <c r="AH39" s="261"/>
      <c r="AI39" s="261"/>
      <c r="AJ39" s="261"/>
      <c r="AK39" s="261"/>
    </row>
    <row r="40" spans="1:37" s="213" customFormat="1" ht="39" customHeight="1" thickBot="1" x14ac:dyDescent="0.3">
      <c r="A40" s="499" t="s">
        <v>156</v>
      </c>
      <c r="B40" s="728" t="s">
        <v>157</v>
      </c>
      <c r="C40" s="729"/>
      <c r="D40" s="480" t="s">
        <v>135</v>
      </c>
      <c r="E40" s="480">
        <v>1</v>
      </c>
      <c r="F40" s="480" t="s">
        <v>5</v>
      </c>
      <c r="G40" s="480"/>
      <c r="H40" s="480" t="s">
        <v>136</v>
      </c>
      <c r="I40" s="480" t="s">
        <v>137</v>
      </c>
      <c r="J40" s="480">
        <v>87106</v>
      </c>
      <c r="K40" s="480" t="s">
        <v>301</v>
      </c>
      <c r="L40" s="480">
        <v>459012345</v>
      </c>
      <c r="M40" s="480">
        <v>1</v>
      </c>
      <c r="N40" s="480">
        <v>1</v>
      </c>
      <c r="O40" s="480">
        <v>1</v>
      </c>
      <c r="P40" s="481">
        <v>109.95</v>
      </c>
      <c r="Q40" s="482">
        <v>849205023557</v>
      </c>
      <c r="R40" s="480" t="s">
        <v>144</v>
      </c>
      <c r="S40" s="480" t="s">
        <v>146</v>
      </c>
      <c r="T40" s="480" t="s">
        <v>8</v>
      </c>
      <c r="U40" s="480"/>
      <c r="V40" s="480"/>
      <c r="W40" s="481"/>
      <c r="X40" s="480"/>
      <c r="Y40" s="481"/>
      <c r="Z40" s="481"/>
      <c r="AA40" s="480"/>
      <c r="AB40" s="481"/>
      <c r="AC40" s="480"/>
      <c r="AD40" s="480"/>
      <c r="AE40" s="481"/>
      <c r="AF40" s="480"/>
      <c r="AG40" s="480"/>
      <c r="AH40" s="481"/>
      <c r="AI40" s="480"/>
      <c r="AJ40" s="480"/>
      <c r="AK40" s="483"/>
    </row>
    <row r="41" spans="1:37" s="211" customFormat="1" ht="13.5" customHeight="1" thickBot="1" x14ac:dyDescent="0.3">
      <c r="A41" s="397"/>
      <c r="B41" s="327"/>
      <c r="C41" s="327"/>
      <c r="D41" s="329"/>
      <c r="E41" s="329"/>
      <c r="F41" s="329"/>
      <c r="G41" s="329"/>
      <c r="H41" s="329"/>
      <c r="I41" s="329"/>
      <c r="J41" s="329"/>
      <c r="K41" s="329"/>
      <c r="L41" s="329"/>
      <c r="M41" s="329"/>
      <c r="N41" s="329"/>
      <c r="O41" s="329"/>
      <c r="P41" s="330"/>
      <c r="Q41" s="331"/>
      <c r="R41" s="329"/>
      <c r="S41" s="329"/>
      <c r="T41" s="329"/>
      <c r="U41" s="329"/>
      <c r="V41" s="329"/>
      <c r="W41" s="330"/>
      <c r="X41" s="329"/>
      <c r="Y41" s="330"/>
      <c r="Z41" s="330"/>
      <c r="AA41" s="329"/>
      <c r="AB41" s="330"/>
      <c r="AC41" s="329"/>
      <c r="AD41" s="329"/>
      <c r="AE41" s="330"/>
      <c r="AF41" s="329"/>
      <c r="AG41" s="329"/>
      <c r="AH41" s="330"/>
      <c r="AI41" s="329"/>
      <c r="AJ41" s="329"/>
      <c r="AK41" s="329"/>
    </row>
    <row r="42" spans="1:37" s="211" customFormat="1" ht="65.25" customHeight="1" thickBot="1" x14ac:dyDescent="0.3">
      <c r="A42" s="280">
        <v>66</v>
      </c>
      <c r="B42" s="509" t="s">
        <v>316</v>
      </c>
      <c r="C42" s="282" t="s">
        <v>303</v>
      </c>
      <c r="D42" s="283" t="s">
        <v>135</v>
      </c>
      <c r="E42" s="283">
        <v>1</v>
      </c>
      <c r="F42" s="283" t="s">
        <v>5</v>
      </c>
      <c r="G42" s="283"/>
      <c r="H42" s="283" t="s">
        <v>136</v>
      </c>
      <c r="I42" s="283" t="s">
        <v>137</v>
      </c>
      <c r="J42" s="283">
        <v>87106</v>
      </c>
      <c r="K42" s="283" t="s">
        <v>301</v>
      </c>
      <c r="L42" s="284">
        <v>459098765</v>
      </c>
      <c r="M42" s="283">
        <v>1</v>
      </c>
      <c r="N42" s="283">
        <v>1</v>
      </c>
      <c r="O42" s="283">
        <v>1</v>
      </c>
      <c r="P42" s="285">
        <v>103.95</v>
      </c>
      <c r="Q42" s="286">
        <v>849205023557</v>
      </c>
      <c r="R42" s="283" t="s">
        <v>144</v>
      </c>
      <c r="S42" s="283" t="s">
        <v>146</v>
      </c>
      <c r="T42" s="287" t="s">
        <v>13</v>
      </c>
      <c r="U42" s="283"/>
      <c r="V42" s="283"/>
      <c r="W42" s="288"/>
      <c r="X42" s="283"/>
      <c r="Y42" s="288"/>
      <c r="Z42" s="288"/>
      <c r="AA42" s="283"/>
      <c r="AB42" s="285">
        <v>6</v>
      </c>
      <c r="AC42" s="283"/>
      <c r="AD42" s="283"/>
      <c r="AE42" s="288"/>
      <c r="AF42" s="283"/>
      <c r="AG42" s="510"/>
      <c r="AH42" s="511"/>
      <c r="AI42" s="283"/>
      <c r="AJ42" s="287" t="s">
        <v>139</v>
      </c>
      <c r="AK42" s="289">
        <v>30123</v>
      </c>
    </row>
    <row r="43" spans="1:37" s="211" customFormat="1" ht="13.5" customHeight="1" x14ac:dyDescent="0.25">
      <c r="A43" s="738"/>
      <c r="B43" s="739"/>
      <c r="C43" s="739"/>
      <c r="D43" s="739"/>
      <c r="E43" s="739"/>
      <c r="F43" s="739"/>
      <c r="G43" s="739"/>
      <c r="H43" s="739"/>
      <c r="I43" s="739"/>
      <c r="J43" s="739"/>
      <c r="K43" s="739"/>
      <c r="L43" s="739"/>
      <c r="M43" s="739"/>
      <c r="N43" s="739"/>
      <c r="O43" s="739"/>
      <c r="P43" s="739"/>
      <c r="Q43" s="739"/>
      <c r="R43" s="739"/>
      <c r="S43" s="739"/>
      <c r="T43" s="739"/>
      <c r="U43" s="739"/>
      <c r="V43" s="739"/>
      <c r="W43" s="739"/>
      <c r="X43" s="739"/>
      <c r="Y43" s="739"/>
      <c r="Z43" s="739"/>
      <c r="AA43" s="739"/>
      <c r="AB43" s="739"/>
      <c r="AC43" s="739"/>
      <c r="AD43" s="739"/>
      <c r="AE43" s="739"/>
      <c r="AF43" s="739"/>
      <c r="AG43" s="739"/>
      <c r="AH43" s="739"/>
      <c r="AI43" s="739"/>
      <c r="AJ43" s="739"/>
      <c r="AK43" s="739"/>
    </row>
    <row r="44" spans="1:37" s="262" customFormat="1" ht="24.75" customHeight="1" x14ac:dyDescent="0.25">
      <c r="A44" s="740" t="s">
        <v>202</v>
      </c>
      <c r="B44" s="741"/>
      <c r="C44" s="741"/>
      <c r="D44" s="741"/>
      <c r="E44" s="741"/>
      <c r="F44" s="741"/>
      <c r="G44" s="741"/>
      <c r="H44" s="741"/>
      <c r="I44" s="741"/>
      <c r="J44" s="741"/>
      <c r="K44" s="741"/>
      <c r="L44" s="741"/>
      <c r="M44" s="741"/>
      <c r="N44" s="741"/>
      <c r="O44" s="741"/>
      <c r="P44" s="741"/>
      <c r="Q44" s="741"/>
      <c r="R44" s="741"/>
      <c r="S44" s="741"/>
      <c r="T44" s="741"/>
      <c r="U44" s="741"/>
      <c r="V44" s="741"/>
      <c r="W44" s="741"/>
      <c r="X44" s="741"/>
      <c r="Y44" s="741"/>
      <c r="Z44" s="741"/>
      <c r="AA44" s="741"/>
      <c r="AB44" s="741"/>
      <c r="AC44" s="741"/>
      <c r="AD44" s="741"/>
      <c r="AE44" s="741"/>
    </row>
    <row r="45" spans="1:37" s="211" customFormat="1" ht="14.25" customHeight="1" thickBot="1" x14ac:dyDescent="0.3">
      <c r="A45" s="355"/>
      <c r="B45" s="246"/>
      <c r="C45" s="320"/>
      <c r="D45" s="321"/>
      <c r="E45" s="321"/>
      <c r="F45" s="321"/>
      <c r="G45" s="321"/>
      <c r="H45" s="321"/>
      <c r="I45" s="321"/>
      <c r="J45" s="321"/>
      <c r="K45" s="321"/>
      <c r="L45" s="321"/>
      <c r="M45" s="321"/>
      <c r="N45" s="321"/>
      <c r="O45" s="321"/>
      <c r="P45" s="322"/>
      <c r="Q45" s="323"/>
      <c r="R45" s="321"/>
      <c r="S45" s="321"/>
      <c r="T45" s="321"/>
      <c r="U45" s="321"/>
      <c r="V45" s="321"/>
      <c r="W45" s="321"/>
      <c r="X45" s="321"/>
      <c r="Y45" s="321"/>
      <c r="Z45" s="321"/>
      <c r="AA45" s="321"/>
      <c r="AB45" s="322"/>
      <c r="AC45" s="321"/>
      <c r="AD45" s="321"/>
      <c r="AE45" s="321"/>
      <c r="AF45" s="321"/>
      <c r="AG45" s="321"/>
      <c r="AH45" s="321"/>
      <c r="AI45" s="321"/>
      <c r="AJ45" s="321"/>
      <c r="AK45" s="324"/>
    </row>
    <row r="46" spans="1:37" s="211" customFormat="1" ht="77.25" customHeight="1" thickBot="1" x14ac:dyDescent="0.3">
      <c r="A46" s="280" t="s">
        <v>326</v>
      </c>
      <c r="B46" s="515" t="s">
        <v>317</v>
      </c>
      <c r="C46" s="282" t="s">
        <v>303</v>
      </c>
      <c r="D46" s="283" t="s">
        <v>135</v>
      </c>
      <c r="E46" s="283">
        <v>1</v>
      </c>
      <c r="F46" s="283" t="s">
        <v>5</v>
      </c>
      <c r="G46" s="283"/>
      <c r="H46" s="283" t="s">
        <v>136</v>
      </c>
      <c r="I46" s="283" t="s">
        <v>137</v>
      </c>
      <c r="J46" s="283">
        <v>87106</v>
      </c>
      <c r="K46" s="283" t="s">
        <v>301</v>
      </c>
      <c r="L46" s="284">
        <v>45998766</v>
      </c>
      <c r="M46" s="283">
        <v>1</v>
      </c>
      <c r="N46" s="283">
        <v>1</v>
      </c>
      <c r="O46" s="283">
        <v>2</v>
      </c>
      <c r="P46" s="285">
        <f>106.95</f>
        <v>106.95</v>
      </c>
      <c r="Q46" s="286">
        <v>849205023557</v>
      </c>
      <c r="R46" s="283" t="s">
        <v>144</v>
      </c>
      <c r="S46" s="283" t="s">
        <v>146</v>
      </c>
      <c r="T46" s="287" t="s">
        <v>13</v>
      </c>
      <c r="U46" s="283"/>
      <c r="V46" s="283"/>
      <c r="W46" s="283"/>
      <c r="X46" s="283"/>
      <c r="Y46" s="283"/>
      <c r="Z46" s="283"/>
      <c r="AA46" s="283"/>
      <c r="AB46" s="285">
        <v>3</v>
      </c>
      <c r="AC46" s="283"/>
      <c r="AD46" s="283"/>
      <c r="AE46" s="283"/>
      <c r="AF46" s="283"/>
      <c r="AG46" s="283"/>
      <c r="AH46" s="283"/>
      <c r="AI46" s="283"/>
      <c r="AJ46" s="287" t="s">
        <v>139</v>
      </c>
      <c r="AK46" s="289">
        <v>30123</v>
      </c>
    </row>
    <row r="47" spans="1:37" s="211" customFormat="1" ht="14.25" customHeight="1" x14ac:dyDescent="0.25">
      <c r="A47" s="513"/>
      <c r="B47" s="342"/>
      <c r="C47" s="343"/>
      <c r="D47" s="344"/>
      <c r="E47" s="344"/>
      <c r="F47" s="344"/>
      <c r="G47" s="344"/>
      <c r="H47" s="344"/>
      <c r="I47" s="344"/>
      <c r="J47" s="344"/>
      <c r="K47" s="344"/>
      <c r="L47" s="344"/>
      <c r="M47" s="344"/>
      <c r="N47" s="344"/>
      <c r="O47" s="344"/>
      <c r="P47" s="345"/>
      <c r="Q47" s="346"/>
      <c r="R47" s="344"/>
      <c r="S47" s="344"/>
      <c r="T47" s="344"/>
      <c r="U47" s="344"/>
      <c r="V47" s="344"/>
      <c r="W47" s="344"/>
      <c r="X47" s="344"/>
      <c r="Y47" s="344"/>
      <c r="Z47" s="344"/>
      <c r="AA47" s="344"/>
      <c r="AB47" s="345"/>
      <c r="AC47" s="344"/>
      <c r="AD47" s="344"/>
      <c r="AE47" s="344"/>
      <c r="AF47" s="344"/>
      <c r="AG47" s="344"/>
      <c r="AH47" s="344"/>
      <c r="AI47" s="344"/>
      <c r="AJ47" s="344"/>
      <c r="AK47" s="514"/>
    </row>
    <row r="48" spans="1:37" s="211" customFormat="1" ht="63.75" customHeight="1" x14ac:dyDescent="0.25">
      <c r="A48" s="691" t="s">
        <v>327</v>
      </c>
      <c r="B48" s="742" t="s">
        <v>318</v>
      </c>
      <c r="C48" s="743" t="s">
        <v>305</v>
      </c>
      <c r="D48" s="253" t="s">
        <v>135</v>
      </c>
      <c r="E48" s="253">
        <v>1</v>
      </c>
      <c r="F48" s="253" t="s">
        <v>5</v>
      </c>
      <c r="G48" s="253"/>
      <c r="H48" s="253" t="s">
        <v>136</v>
      </c>
      <c r="I48" s="253" t="s">
        <v>137</v>
      </c>
      <c r="J48" s="253">
        <v>87106</v>
      </c>
      <c r="K48" s="253" t="s">
        <v>301</v>
      </c>
      <c r="L48" s="254">
        <v>45998766</v>
      </c>
      <c r="M48" s="253">
        <v>1</v>
      </c>
      <c r="N48" s="253">
        <v>1</v>
      </c>
      <c r="O48" s="257">
        <v>1</v>
      </c>
      <c r="P48" s="255">
        <v>103.95</v>
      </c>
      <c r="Q48" s="256">
        <v>849205023557</v>
      </c>
      <c r="R48" s="253" t="s">
        <v>144</v>
      </c>
      <c r="S48" s="253" t="s">
        <v>146</v>
      </c>
      <c r="T48" s="257" t="s">
        <v>13</v>
      </c>
      <c r="U48" s="253"/>
      <c r="V48" s="253"/>
      <c r="W48" s="253"/>
      <c r="X48" s="253"/>
      <c r="Y48" s="253"/>
      <c r="Z48" s="253"/>
      <c r="AA48" s="253"/>
      <c r="AB48" s="255">
        <v>6</v>
      </c>
      <c r="AC48" s="253"/>
      <c r="AD48" s="253"/>
      <c r="AE48" s="253"/>
      <c r="AF48" s="253"/>
      <c r="AG48" s="253"/>
      <c r="AH48" s="253"/>
      <c r="AI48" s="253"/>
      <c r="AJ48" s="257" t="s">
        <v>139</v>
      </c>
      <c r="AK48" s="351">
        <v>30123</v>
      </c>
    </row>
    <row r="49" spans="1:37" s="211" customFormat="1" ht="63.75" customHeight="1" thickBot="1" x14ac:dyDescent="0.3">
      <c r="A49" s="692"/>
      <c r="B49" s="737"/>
      <c r="C49" s="636"/>
      <c r="D49" s="300" t="s">
        <v>135</v>
      </c>
      <c r="E49" s="300">
        <v>1</v>
      </c>
      <c r="F49" s="300" t="s">
        <v>5</v>
      </c>
      <c r="G49" s="300"/>
      <c r="H49" s="300" t="s">
        <v>136</v>
      </c>
      <c r="I49" s="300" t="s">
        <v>137</v>
      </c>
      <c r="J49" s="300">
        <v>87106</v>
      </c>
      <c r="K49" s="300" t="s">
        <v>301</v>
      </c>
      <c r="L49" s="334">
        <v>45998766</v>
      </c>
      <c r="M49" s="300">
        <v>2</v>
      </c>
      <c r="N49" s="300">
        <v>1</v>
      </c>
      <c r="O49" s="306">
        <v>1</v>
      </c>
      <c r="P49" s="304">
        <v>109.95</v>
      </c>
      <c r="Q49" s="302">
        <v>849205023557</v>
      </c>
      <c r="R49" s="300" t="s">
        <v>144</v>
      </c>
      <c r="S49" s="300" t="s">
        <v>146</v>
      </c>
      <c r="T49" s="365" t="s">
        <v>8</v>
      </c>
      <c r="U49" s="300"/>
      <c r="V49" s="300"/>
      <c r="W49" s="300"/>
      <c r="X49" s="300"/>
      <c r="Y49" s="300"/>
      <c r="Z49" s="300"/>
      <c r="AA49" s="300"/>
      <c r="AB49" s="304"/>
      <c r="AC49" s="300"/>
      <c r="AD49" s="300"/>
      <c r="AE49" s="300"/>
      <c r="AF49" s="300"/>
      <c r="AG49" s="300"/>
      <c r="AH49" s="300"/>
      <c r="AI49" s="300"/>
      <c r="AJ49" s="512" t="s">
        <v>139</v>
      </c>
      <c r="AK49" s="307"/>
    </row>
    <row r="50" spans="1:37" ht="12.75" customHeight="1" x14ac:dyDescent="0.3"/>
  </sheetData>
  <mergeCells count="38">
    <mergeCell ref="A43:AK43"/>
    <mergeCell ref="A44:AE44"/>
    <mergeCell ref="A48:A49"/>
    <mergeCell ref="B48:B49"/>
    <mergeCell ref="C48:C49"/>
    <mergeCell ref="A1:L1"/>
    <mergeCell ref="N1:U1"/>
    <mergeCell ref="A2:L2"/>
    <mergeCell ref="N2:U2"/>
    <mergeCell ref="A3:L3"/>
    <mergeCell ref="B40:C40"/>
    <mergeCell ref="A22:AK22"/>
    <mergeCell ref="A24:AK24"/>
    <mergeCell ref="A25:AE25"/>
    <mergeCell ref="A29:A30"/>
    <mergeCell ref="B29:B30"/>
    <mergeCell ref="C29:C30"/>
    <mergeCell ref="A31:AK31"/>
    <mergeCell ref="A32:AE32"/>
    <mergeCell ref="A35:A36"/>
    <mergeCell ref="B35:B36"/>
    <mergeCell ref="C35:C36"/>
    <mergeCell ref="B16:C16"/>
    <mergeCell ref="A17:AK17"/>
    <mergeCell ref="A19:AK19"/>
    <mergeCell ref="A20:A21"/>
    <mergeCell ref="B20:B21"/>
    <mergeCell ref="C20:C21"/>
    <mergeCell ref="A13:C13"/>
    <mergeCell ref="A14:C14"/>
    <mergeCell ref="B15:C15"/>
    <mergeCell ref="AJ2:AJ12"/>
    <mergeCell ref="AK2:AK12"/>
    <mergeCell ref="A4:L4"/>
    <mergeCell ref="A6:F7"/>
    <mergeCell ref="A8:F9"/>
    <mergeCell ref="P8:P12"/>
    <mergeCell ref="A11:L11"/>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pageSetUpPr fitToPage="1"/>
  </sheetPr>
  <dimension ref="A1:AH3"/>
  <sheetViews>
    <sheetView showGridLines="0" zoomScale="85" zoomScaleNormal="85" workbookViewId="0">
      <pane xSplit="1" ySplit="3" topLeftCell="B4" activePane="bottomRight" state="frozen"/>
      <selection pane="topRight" activeCell="B1" sqref="B1"/>
      <selection pane="bottomLeft" activeCell="A2" sqref="A2"/>
      <selection pane="bottomRight" activeCell="K37" sqref="K37"/>
    </sheetView>
  </sheetViews>
  <sheetFormatPr defaultColWidth="9.28515625" defaultRowHeight="12.75" x14ac:dyDescent="0.2"/>
  <cols>
    <col min="1" max="1" width="6.42578125" style="12" bestFit="1" customWidth="1"/>
    <col min="2" max="2" width="5.7109375" style="36" bestFit="1" customWidth="1"/>
    <col min="3" max="3" width="11.7109375" style="36" bestFit="1" customWidth="1"/>
    <col min="4" max="4" width="3.42578125" style="36" bestFit="1" customWidth="1"/>
    <col min="5" max="5" width="11.28515625" style="36" bestFit="1" customWidth="1"/>
    <col min="6" max="6" width="3.7109375" style="36" bestFit="1" customWidth="1"/>
    <col min="7" max="7" width="7" style="36" bestFit="1" customWidth="1"/>
    <col min="8" max="8" width="19.42578125" style="36" customWidth="1"/>
    <col min="9" max="9" width="7" style="36" bestFit="1" customWidth="1"/>
    <col min="10" max="12" width="3.42578125" style="36" bestFit="1" customWidth="1"/>
    <col min="13" max="13" width="5.28515625" style="38" bestFit="1" customWidth="1"/>
    <col min="14" max="14" width="13.28515625" style="43" customWidth="1"/>
    <col min="15" max="15" width="31.7109375" style="36" bestFit="1" customWidth="1"/>
    <col min="16" max="16" width="5.7109375" style="36" bestFit="1" customWidth="1"/>
    <col min="17" max="17" width="3.42578125" style="37" bestFit="1" customWidth="1"/>
    <col min="18" max="19" width="8" style="36" bestFit="1" customWidth="1"/>
    <col min="20" max="20" width="8" style="38" bestFit="1" customWidth="1"/>
    <col min="21" max="21" width="5.7109375" style="36" bestFit="1" customWidth="1"/>
    <col min="22" max="22" width="5.7109375" style="38" bestFit="1" customWidth="1"/>
    <col min="23" max="23" width="5.7109375" style="39" bestFit="1" customWidth="1"/>
    <col min="24" max="24" width="13.42578125" style="36" customWidth="1"/>
    <col min="25" max="25" width="8" style="38" bestFit="1" customWidth="1"/>
    <col min="26" max="27" width="8" style="36" bestFit="1" customWidth="1"/>
    <col min="28" max="28" width="8" style="38" bestFit="1" customWidth="1"/>
    <col min="29" max="29" width="11.5703125" style="37" bestFit="1" customWidth="1"/>
    <col min="30" max="30" width="19.42578125" style="36" bestFit="1" customWidth="1"/>
    <col min="31" max="31" width="8" style="38" bestFit="1" customWidth="1"/>
    <col min="32" max="32" width="12.42578125" style="36" customWidth="1"/>
    <col min="33" max="33" width="10.5703125" style="36" customWidth="1"/>
    <col min="34" max="34" width="18" style="36" bestFit="1" customWidth="1"/>
    <col min="35" max="16384" width="9.28515625" style="2"/>
  </cols>
  <sheetData>
    <row r="1" spans="1:34" ht="18.600000000000001" customHeight="1" thickBot="1" x14ac:dyDescent="0.25">
      <c r="A1" s="744" t="s">
        <v>93</v>
      </c>
      <c r="B1" s="745"/>
      <c r="C1" s="745"/>
      <c r="D1" s="745"/>
      <c r="E1" s="745"/>
      <c r="F1" s="745"/>
      <c r="G1" s="745"/>
      <c r="H1" s="746"/>
      <c r="I1" s="12"/>
      <c r="J1" s="12"/>
      <c r="K1" s="12"/>
      <c r="L1" s="12"/>
      <c r="M1" s="12"/>
      <c r="N1" s="40"/>
      <c r="O1" s="12"/>
      <c r="P1" s="12"/>
      <c r="Q1" s="12"/>
      <c r="R1" s="12"/>
      <c r="S1" s="12"/>
      <c r="T1" s="12"/>
      <c r="U1" s="12"/>
      <c r="V1" s="12"/>
      <c r="W1" s="12"/>
      <c r="X1" s="12"/>
      <c r="Y1" s="12"/>
      <c r="Z1" s="12"/>
      <c r="AA1" s="12"/>
      <c r="AB1" s="12"/>
      <c r="AC1" s="12"/>
      <c r="AD1" s="12"/>
      <c r="AE1" s="12"/>
      <c r="AF1" s="12"/>
      <c r="AG1" s="12"/>
      <c r="AH1" s="12"/>
    </row>
    <row r="2" spans="1:34" s="63" customFormat="1" ht="18.600000000000001" customHeight="1" x14ac:dyDescent="0.2">
      <c r="A2" s="67"/>
      <c r="B2" s="67"/>
      <c r="C2" s="67"/>
      <c r="D2" s="67"/>
      <c r="E2" s="67"/>
      <c r="F2" s="67"/>
      <c r="G2" s="67"/>
      <c r="H2" s="67"/>
      <c r="I2" s="58"/>
      <c r="J2" s="58"/>
      <c r="K2" s="58"/>
      <c r="L2" s="58"/>
      <c r="M2" s="58"/>
      <c r="N2" s="68"/>
      <c r="O2" s="58"/>
      <c r="P2" s="58"/>
      <c r="Q2" s="58"/>
      <c r="R2" s="58"/>
      <c r="S2" s="58"/>
      <c r="T2" s="58"/>
      <c r="U2" s="58"/>
      <c r="V2" s="58"/>
      <c r="W2" s="58"/>
      <c r="X2" s="58"/>
      <c r="Y2" s="58"/>
      <c r="Z2" s="58"/>
      <c r="AA2" s="58"/>
      <c r="AB2" s="58"/>
      <c r="AC2" s="58"/>
      <c r="AD2" s="58"/>
      <c r="AE2" s="58"/>
      <c r="AF2" s="58"/>
      <c r="AG2" s="58"/>
      <c r="AH2" s="58"/>
    </row>
    <row r="3" spans="1:34" customFormat="1" ht="19.5" customHeight="1" x14ac:dyDescent="0.3">
      <c r="A3" s="8"/>
      <c r="C3" s="66" t="s">
        <v>95</v>
      </c>
    </row>
  </sheetData>
  <mergeCells count="1">
    <mergeCell ref="A1:H1"/>
  </mergeCells>
  <pageMargins left="0.25" right="0.25" top="0.75" bottom="0.75" header="0.3" footer="0.3"/>
  <pageSetup paperSize="17" scale="61" fitToHeight="0"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EBD750A33E17444B1F4A56FD5EDAC2F" ma:contentTypeVersion="10" ma:contentTypeDescription="Create a new document." ma:contentTypeScope="" ma:versionID="30d20a4604f31c6e76003468152430e6">
  <xsd:schema xmlns:xsd="http://www.w3.org/2001/XMLSchema" xmlns:xs="http://www.w3.org/2001/XMLSchema" xmlns:p="http://schemas.microsoft.com/office/2006/metadata/properties" xmlns:ns2="85708b5b-7e15-4550-93d2-4d654fd27e70" targetNamespace="http://schemas.microsoft.com/office/2006/metadata/properties" ma:root="true" ma:fieldsID="8e8a25bb43de0acd650856c8132713df" ns2:_="">
    <xsd:import namespace="85708b5b-7e15-4550-93d2-4d654fd27e70"/>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ObjectDetectorVersion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708b5b-7e15-4550-93d2-4d654fd27e7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23D28E6-89F1-46C2-AD0A-00282E22CCF6}">
  <ds:schemaRefs>
    <ds:schemaRef ds:uri="http://schemas.microsoft.com/office/2006/metadata/properties"/>
    <ds:schemaRef ds:uri="http://purl.org/dc/terms/"/>
    <ds:schemaRef ds:uri="9c0bd23c-0da7-4359-9e2c-2ea504afdae8"/>
    <ds:schemaRef ds:uri="http://schemas.microsoft.com/office/2006/documentManagement/types"/>
    <ds:schemaRef ds:uri="http://schemas.microsoft.com/office/infopath/2007/PartnerControls"/>
    <ds:schemaRef ds:uri="50042d3a-be31-43d8-99fe-0c8c22cbe20f"/>
    <ds:schemaRef ds:uri="http://purl.org/dc/elements/1.1/"/>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D0C07246-A310-41AF-AF54-3401B6AA1E3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5708b5b-7e15-4550-93d2-4d654fd27e7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77435E0-491C-4D22-8C26-62840DAA8B1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ReturnPrePrice&amp;Single_Pk_promos</vt:lpstr>
      <vt:lpstr>MultiPack</vt:lpstr>
      <vt:lpstr>Loyalty FMC </vt:lpstr>
      <vt:lpstr>Loyalty Trad Oral</vt:lpstr>
      <vt:lpstr>Loyalty NMO</vt:lpstr>
      <vt:lpstr>Loyalty Vapor</vt:lpstr>
      <vt:lpstr>CSF- Incremental Offers</vt:lpstr>
      <vt:lpstr>'CSF- Incremental Offers'!Print_Area</vt:lpstr>
      <vt:lpstr>'Loyalty FMC '!Print_Area</vt:lpstr>
      <vt:lpstr>'Loyalty NMO'!Print_Area</vt:lpstr>
      <vt:lpstr>'Loyalty Trad Oral'!Print_Area</vt:lpstr>
      <vt:lpstr>MultiPack!Print_Area</vt:lpstr>
      <vt:lpstr>'ReturnPrePrice&amp;Single_Pk_promos'!Print_Area</vt:lpstr>
      <vt:lpstr>MultiPack!Print_Titles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Petrak, Angela</dc:creator>
  <cp:lastModifiedBy>Stephanie Massey</cp:lastModifiedBy>
  <cp:lastPrinted>2019-04-24T19:41:35Z</cp:lastPrinted>
  <dcterms:created xsi:type="dcterms:W3CDTF">2017-08-03T12:11:58Z</dcterms:created>
  <dcterms:modified xsi:type="dcterms:W3CDTF">2025-01-29T18:08:45Z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SRI_WORKBOOK_ID">
    <vt:lpwstr>b2004f0f38b142a183d11a792fc905f9</vt:lpwstr>
  </property>
  <property fmtid="{D5CDD505-2E9C-101B-9397-08002B2CF9AE}" pid="3" name="ContentTypeId">
    <vt:lpwstr>0x010100BEBD750A33E17444B1F4A56FD5EDAC2F</vt:lpwstr>
  </property>
  <property fmtid="{D5CDD505-2E9C-101B-9397-08002B2CF9AE}" pid="4" name="MSIP_Label_e9fea72e-161c-48c8-8e82-3fc1e9b3162c_Enabled">
    <vt:lpwstr>true</vt:lpwstr>
  </property>
  <property fmtid="{D5CDD505-2E9C-101B-9397-08002B2CF9AE}" pid="5" name="MSIP_Label_e9fea72e-161c-48c8-8e82-3fc1e9b3162c_SetDate">
    <vt:lpwstr>2024-01-08T21:16:33Z</vt:lpwstr>
  </property>
  <property fmtid="{D5CDD505-2E9C-101B-9397-08002B2CF9AE}" pid="6" name="MSIP_Label_e9fea72e-161c-48c8-8e82-3fc1e9b3162c_Method">
    <vt:lpwstr>Standard</vt:lpwstr>
  </property>
  <property fmtid="{D5CDD505-2E9C-101B-9397-08002B2CF9AE}" pid="7" name="MSIP_Label_e9fea72e-161c-48c8-8e82-3fc1e9b3162c_Name">
    <vt:lpwstr>Normal sensitivity label</vt:lpwstr>
  </property>
  <property fmtid="{D5CDD505-2E9C-101B-9397-08002B2CF9AE}" pid="8" name="MSIP_Label_e9fea72e-161c-48c8-8e82-3fc1e9b3162c_SiteId">
    <vt:lpwstr>ff9c7474-421d-4957-8d47-c4b64dec87b5</vt:lpwstr>
  </property>
  <property fmtid="{D5CDD505-2E9C-101B-9397-08002B2CF9AE}" pid="9" name="MSIP_Label_e9fea72e-161c-48c8-8e82-3fc1e9b3162c_ActionId">
    <vt:lpwstr>7b011923-222a-4e78-8677-d8c6514567cc</vt:lpwstr>
  </property>
  <property fmtid="{D5CDD505-2E9C-101B-9397-08002B2CF9AE}" pid="10" name="MSIP_Label_e9fea72e-161c-48c8-8e82-3fc1e9b3162c_ContentBits">
    <vt:lpwstr>0</vt:lpwstr>
  </property>
</Properties>
</file>